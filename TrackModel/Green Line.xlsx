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682" documentId="8_{D0660D75-C052-4898-8402-12AA78E71664}" xr6:coauthVersionLast="47" xr6:coauthVersionMax="47" xr10:uidLastSave="{FE4F6CF7-A6F0-49F6-9AFB-C0390E7FA6A8}"/>
  <bookViews>
    <workbookView minimized="1" xWindow="3075" yWindow="3075" windowWidth="21600" windowHeight="11295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8" i="1" l="1"/>
  <c r="Q109" i="1" s="1"/>
  <c r="R108" i="1"/>
  <c r="P109" i="1" s="1"/>
  <c r="P105" i="1"/>
  <c r="Q105" i="1"/>
  <c r="P106" i="1"/>
  <c r="Q106" i="1"/>
  <c r="P107" i="1"/>
  <c r="Q107" i="1"/>
  <c r="P108" i="1"/>
  <c r="Q108" i="1"/>
  <c r="Q24" i="1"/>
  <c r="Q25" i="1" s="1"/>
  <c r="Q26" i="1" s="1"/>
  <c r="Q27" i="1" s="1"/>
  <c r="Q28" i="1" s="1"/>
  <c r="P24" i="1"/>
  <c r="P25" i="1" s="1"/>
  <c r="P26" i="1" s="1"/>
  <c r="P27" i="1" s="1"/>
  <c r="P28" i="1" s="1"/>
  <c r="P29" i="1" s="1"/>
  <c r="P30" i="1" s="1"/>
  <c r="P31" i="1" s="1"/>
  <c r="R32" i="1" s="1"/>
  <c r="R33" i="1" s="1"/>
  <c r="R34" i="1" s="1"/>
  <c r="R35" i="1" s="1"/>
  <c r="R12" i="1"/>
  <c r="S12" i="1"/>
  <c r="R13" i="1"/>
  <c r="S13" i="1"/>
  <c r="R14" i="1"/>
  <c r="S14" i="1"/>
  <c r="R15" i="1"/>
  <c r="S15" i="1"/>
  <c r="R16" i="1"/>
  <c r="S16" i="1"/>
  <c r="S7" i="1"/>
  <c r="R7" i="1"/>
  <c r="R8" i="1"/>
  <c r="S8" i="1"/>
  <c r="R9" i="1"/>
  <c r="S9" i="1"/>
  <c r="R10" i="1"/>
  <c r="S10" i="1"/>
  <c r="R11" i="1"/>
  <c r="S11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5" i="1"/>
  <c r="S5" i="1"/>
  <c r="R6" i="1"/>
  <c r="S6" i="1"/>
  <c r="S109" i="1" l="1"/>
  <c r="S110" i="1" s="1"/>
  <c r="S111" i="1" s="1"/>
  <c r="S112" i="1" s="1"/>
  <c r="S113" i="1" s="1"/>
  <c r="R109" i="1"/>
  <c r="R110" i="1" s="1"/>
  <c r="P111" i="1"/>
  <c r="R111" i="1"/>
  <c r="P110" i="1"/>
  <c r="S25" i="1"/>
  <c r="Q29" i="1"/>
  <c r="Q30" i="1" s="1"/>
  <c r="Q31" i="1" s="1"/>
  <c r="S32" i="1" s="1"/>
  <c r="S33" i="1" s="1"/>
  <c r="S34" i="1" s="1"/>
  <c r="S35" i="1" s="1"/>
  <c r="S36" i="1" s="1"/>
  <c r="S37" i="1" s="1"/>
  <c r="S38" i="1" s="1"/>
  <c r="R25" i="1"/>
  <c r="P36" i="1"/>
  <c r="R36" i="1"/>
  <c r="P35" i="1"/>
  <c r="P34" i="1"/>
  <c r="P33" i="1"/>
  <c r="S26" i="1"/>
  <c r="R26" i="1"/>
  <c r="S28" i="1"/>
  <c r="S27" i="1"/>
  <c r="R27" i="1"/>
  <c r="S114" i="1" l="1"/>
  <c r="Q114" i="1"/>
  <c r="Q110" i="1"/>
  <c r="P112" i="1"/>
  <c r="R112" i="1"/>
  <c r="Q33" i="1"/>
  <c r="Q35" i="1"/>
  <c r="Q36" i="1"/>
  <c r="Q37" i="1"/>
  <c r="Q34" i="1"/>
  <c r="Q38" i="1"/>
  <c r="R37" i="1"/>
  <c r="P37" i="1"/>
  <c r="Q39" i="1"/>
  <c r="S39" i="1"/>
  <c r="R28" i="1"/>
  <c r="S29" i="1"/>
  <c r="P113" i="1" l="1"/>
  <c r="R113" i="1"/>
  <c r="S115" i="1"/>
  <c r="Q115" i="1"/>
  <c r="Q111" i="1"/>
  <c r="Q40" i="1"/>
  <c r="S40" i="1"/>
  <c r="R38" i="1"/>
  <c r="P38" i="1"/>
  <c r="R29" i="1"/>
  <c r="S30" i="1"/>
  <c r="Q116" i="1" l="1"/>
  <c r="S116" i="1"/>
  <c r="R114" i="1"/>
  <c r="P114" i="1"/>
  <c r="Q112" i="1"/>
  <c r="Q113" i="1"/>
  <c r="Q41" i="1"/>
  <c r="S41" i="1"/>
  <c r="R39" i="1"/>
  <c r="P39" i="1"/>
  <c r="R30" i="1"/>
  <c r="S31" i="1"/>
  <c r="Q32" i="1"/>
  <c r="Q117" i="1" l="1"/>
  <c r="S117" i="1"/>
  <c r="R115" i="1"/>
  <c r="P115" i="1"/>
  <c r="R40" i="1"/>
  <c r="P40" i="1"/>
  <c r="S42" i="1"/>
  <c r="Q42" i="1"/>
  <c r="P32" i="1"/>
  <c r="R31" i="1"/>
  <c r="R116" i="1" l="1"/>
  <c r="P116" i="1"/>
  <c r="Q118" i="1"/>
  <c r="S118" i="1"/>
  <c r="S43" i="1"/>
  <c r="Q43" i="1"/>
  <c r="R41" i="1"/>
  <c r="P41" i="1"/>
  <c r="S119" i="1" l="1"/>
  <c r="Q119" i="1"/>
  <c r="R117" i="1"/>
  <c r="P117" i="1"/>
  <c r="P42" i="1"/>
  <c r="R42" i="1"/>
  <c r="S44" i="1"/>
  <c r="Q44" i="1"/>
  <c r="R118" i="1" l="1"/>
  <c r="P118" i="1"/>
  <c r="Q120" i="1"/>
  <c r="S120" i="1"/>
  <c r="S45" i="1"/>
  <c r="Q45" i="1"/>
  <c r="R43" i="1"/>
  <c r="P43" i="1"/>
  <c r="Q121" i="1" l="1"/>
  <c r="S121" i="1"/>
  <c r="P119" i="1"/>
  <c r="R119" i="1"/>
  <c r="R44" i="1"/>
  <c r="P44" i="1"/>
  <c r="S46" i="1"/>
  <c r="Q46" i="1"/>
  <c r="P120" i="1" l="1"/>
  <c r="R120" i="1"/>
  <c r="S122" i="1"/>
  <c r="Q122" i="1"/>
  <c r="S47" i="1"/>
  <c r="Q47" i="1"/>
  <c r="R45" i="1"/>
  <c r="P45" i="1"/>
  <c r="S123" i="1" l="1"/>
  <c r="Q123" i="1"/>
  <c r="P121" i="1"/>
  <c r="R121" i="1"/>
  <c r="R46" i="1"/>
  <c r="P46" i="1"/>
  <c r="S48" i="1"/>
  <c r="Q48" i="1"/>
  <c r="P122" i="1" l="1"/>
  <c r="R122" i="1"/>
  <c r="Q124" i="1"/>
  <c r="S124" i="1"/>
  <c r="S49" i="1"/>
  <c r="Q49" i="1"/>
  <c r="R47" i="1"/>
  <c r="P47" i="1"/>
  <c r="Q125" i="1" l="1"/>
  <c r="S125" i="1"/>
  <c r="R123" i="1"/>
  <c r="P123" i="1"/>
  <c r="R48" i="1"/>
  <c r="P48" i="1"/>
  <c r="S50" i="1"/>
  <c r="Q50" i="1"/>
  <c r="R124" i="1" l="1"/>
  <c r="P124" i="1"/>
  <c r="Q126" i="1"/>
  <c r="S126" i="1"/>
  <c r="S51" i="1"/>
  <c r="Q51" i="1"/>
  <c r="R49" i="1"/>
  <c r="P49" i="1"/>
  <c r="Q127" i="1" l="1"/>
  <c r="S127" i="1"/>
  <c r="P125" i="1"/>
  <c r="R125" i="1"/>
  <c r="R50" i="1"/>
  <c r="P50" i="1"/>
  <c r="S52" i="1"/>
  <c r="Q52" i="1"/>
  <c r="R126" i="1" l="1"/>
  <c r="P126" i="1"/>
  <c r="Q128" i="1"/>
  <c r="S128" i="1"/>
  <c r="S53" i="1"/>
  <c r="Q53" i="1"/>
  <c r="R51" i="1"/>
  <c r="P51" i="1"/>
  <c r="S129" i="1" l="1"/>
  <c r="Q129" i="1"/>
  <c r="P127" i="1"/>
  <c r="R127" i="1"/>
  <c r="R52" i="1"/>
  <c r="P52" i="1"/>
  <c r="S54" i="1"/>
  <c r="Q54" i="1"/>
  <c r="R128" i="1" l="1"/>
  <c r="P128" i="1"/>
  <c r="Q130" i="1"/>
  <c r="S130" i="1"/>
  <c r="S55" i="1"/>
  <c r="Q55" i="1"/>
  <c r="R53" i="1"/>
  <c r="P53" i="1"/>
  <c r="Q131" i="1" l="1"/>
  <c r="S131" i="1"/>
  <c r="R129" i="1"/>
  <c r="P129" i="1"/>
  <c r="S56" i="1"/>
  <c r="Q56" i="1"/>
  <c r="R54" i="1"/>
  <c r="P54" i="1"/>
  <c r="S132" i="1" l="1"/>
  <c r="Q132" i="1"/>
  <c r="R130" i="1"/>
  <c r="P130" i="1"/>
  <c r="S57" i="1"/>
  <c r="Q57" i="1"/>
  <c r="R55" i="1"/>
  <c r="P55" i="1"/>
  <c r="R131" i="1" l="1"/>
  <c r="P131" i="1"/>
  <c r="S133" i="1"/>
  <c r="Q133" i="1"/>
  <c r="S58" i="1"/>
  <c r="Q58" i="1"/>
  <c r="R56" i="1"/>
  <c r="P56" i="1"/>
  <c r="S134" i="1" l="1"/>
  <c r="Q134" i="1"/>
  <c r="R132" i="1"/>
  <c r="P132" i="1"/>
  <c r="S59" i="1"/>
  <c r="Q59" i="1"/>
  <c r="R57" i="1"/>
  <c r="P57" i="1"/>
  <c r="P133" i="1" l="1"/>
  <c r="R133" i="1"/>
  <c r="S135" i="1"/>
  <c r="Q135" i="1"/>
  <c r="S60" i="1"/>
  <c r="Q60" i="1"/>
  <c r="R58" i="1"/>
  <c r="P58" i="1"/>
  <c r="Q136" i="1" l="1"/>
  <c r="S136" i="1"/>
  <c r="R134" i="1"/>
  <c r="P134" i="1"/>
  <c r="S61" i="1"/>
  <c r="Q61" i="1"/>
  <c r="R59" i="1"/>
  <c r="P59" i="1"/>
  <c r="P135" i="1" l="1"/>
  <c r="R135" i="1"/>
  <c r="Q137" i="1"/>
  <c r="S137" i="1"/>
  <c r="Q62" i="1"/>
  <c r="S62" i="1"/>
  <c r="R60" i="1"/>
  <c r="R61" i="1" s="1"/>
  <c r="R62" i="1" s="1"/>
  <c r="R63" i="1" s="1"/>
  <c r="R64" i="1" s="1"/>
  <c r="R65" i="1" s="1"/>
  <c r="R66" i="1" s="1"/>
  <c r="P60" i="1"/>
  <c r="P136" i="1" l="1"/>
  <c r="R136" i="1"/>
  <c r="Q138" i="1"/>
  <c r="S138" i="1"/>
  <c r="R67" i="1"/>
  <c r="P67" i="1"/>
  <c r="S63" i="1"/>
  <c r="Q63" i="1"/>
  <c r="P62" i="1"/>
  <c r="P64" i="1" s="1"/>
  <c r="P66" i="1" s="1"/>
  <c r="P61" i="1"/>
  <c r="P63" i="1" s="1"/>
  <c r="P65" i="1" s="1"/>
  <c r="Q139" i="1" l="1"/>
  <c r="S139" i="1"/>
  <c r="P137" i="1"/>
  <c r="R137" i="1"/>
  <c r="P68" i="1"/>
  <c r="R68" i="1"/>
  <c r="S64" i="1"/>
  <c r="Q64" i="1"/>
  <c r="S140" i="1" l="1"/>
  <c r="Q140" i="1"/>
  <c r="R138" i="1"/>
  <c r="P138" i="1"/>
  <c r="R69" i="1"/>
  <c r="P69" i="1"/>
  <c r="S65" i="1"/>
  <c r="Q65" i="1"/>
  <c r="R139" i="1" l="1"/>
  <c r="P139" i="1"/>
  <c r="Q141" i="1"/>
  <c r="S141" i="1"/>
  <c r="R70" i="1"/>
  <c r="P70" i="1"/>
  <c r="Q66" i="1"/>
  <c r="S68" i="1"/>
  <c r="S66" i="1"/>
  <c r="Q142" i="1" l="1"/>
  <c r="S142" i="1"/>
  <c r="R140" i="1"/>
  <c r="P140" i="1"/>
  <c r="R71" i="1"/>
  <c r="P71" i="1"/>
  <c r="Q67" i="1"/>
  <c r="S67" i="1"/>
  <c r="Q68" i="1" s="1"/>
  <c r="S71" i="1"/>
  <c r="Q69" i="1"/>
  <c r="S69" i="1"/>
  <c r="R141" i="1" l="1"/>
  <c r="P141" i="1"/>
  <c r="Q143" i="1"/>
  <c r="S143" i="1"/>
  <c r="P72" i="1"/>
  <c r="R72" i="1"/>
  <c r="S70" i="1"/>
  <c r="Q71" i="1" s="1"/>
  <c r="Q70" i="1"/>
  <c r="Q72" i="1"/>
  <c r="S72" i="1"/>
  <c r="S144" i="1" l="1"/>
  <c r="Q144" i="1"/>
  <c r="R142" i="1"/>
  <c r="P142" i="1"/>
  <c r="Q73" i="1"/>
  <c r="S73" i="1"/>
  <c r="P73" i="1"/>
  <c r="R73" i="1"/>
  <c r="P143" i="1" l="1"/>
  <c r="R143" i="1"/>
  <c r="Q145" i="1"/>
  <c r="S145" i="1"/>
  <c r="R74" i="1"/>
  <c r="P74" i="1"/>
  <c r="S74" i="1"/>
  <c r="Q74" i="1"/>
  <c r="Q146" i="1" l="1"/>
  <c r="S146" i="1"/>
  <c r="P144" i="1"/>
  <c r="R144" i="1"/>
  <c r="P75" i="1"/>
  <c r="R75" i="1"/>
  <c r="Q75" i="1"/>
  <c r="S75" i="1"/>
  <c r="P145" i="1" l="1"/>
  <c r="R145" i="1"/>
  <c r="Q147" i="1"/>
  <c r="S147" i="1"/>
  <c r="S76" i="1"/>
  <c r="Q76" i="1"/>
  <c r="R76" i="1"/>
  <c r="P76" i="1"/>
  <c r="P146" i="1" l="1"/>
  <c r="R146" i="1"/>
  <c r="Q148" i="1"/>
  <c r="S148" i="1"/>
  <c r="Q77" i="1"/>
  <c r="S77" i="1"/>
  <c r="P77" i="1"/>
  <c r="R77" i="1"/>
  <c r="Q149" i="1" l="1"/>
  <c r="S149" i="1"/>
  <c r="P147" i="1"/>
  <c r="R147" i="1"/>
  <c r="R78" i="1"/>
  <c r="P78" i="1"/>
  <c r="Q78" i="1"/>
  <c r="S78" i="1"/>
  <c r="R148" i="1" l="1"/>
  <c r="P148" i="1"/>
  <c r="S150" i="1"/>
  <c r="Q150" i="1"/>
  <c r="S79" i="1"/>
  <c r="Q79" i="1"/>
  <c r="R79" i="1"/>
  <c r="P79" i="1"/>
  <c r="S151" i="1" l="1"/>
  <c r="Q151" i="1"/>
  <c r="R149" i="1"/>
  <c r="P149" i="1"/>
  <c r="R80" i="1"/>
  <c r="P80" i="1"/>
  <c r="Q80" i="1"/>
  <c r="S80" i="1"/>
  <c r="P150" i="1" l="1"/>
  <c r="R150" i="1"/>
  <c r="Q152" i="1"/>
  <c r="S152" i="1"/>
  <c r="Q153" i="1" s="1"/>
  <c r="S81" i="1"/>
  <c r="Q81" i="1"/>
  <c r="P81" i="1"/>
  <c r="R81" i="1"/>
  <c r="R151" i="1" l="1"/>
  <c r="P151" i="1"/>
  <c r="R82" i="1"/>
  <c r="P82" i="1"/>
  <c r="Q82" i="1"/>
  <c r="S82" i="1"/>
  <c r="P152" i="1" l="1"/>
  <c r="R152" i="1"/>
  <c r="P153" i="1" s="1"/>
  <c r="R83" i="1"/>
  <c r="P83" i="1"/>
  <c r="S83" i="1"/>
  <c r="Q83" i="1"/>
  <c r="S84" i="1" l="1"/>
  <c r="Q84" i="1"/>
  <c r="R84" i="1"/>
  <c r="P84" i="1"/>
  <c r="R85" i="1" l="1"/>
  <c r="P85" i="1"/>
  <c r="Q85" i="1"/>
  <c r="S85" i="1"/>
  <c r="S86" i="1" l="1"/>
  <c r="Q86" i="1"/>
  <c r="R86" i="1"/>
  <c r="P86" i="1"/>
  <c r="R87" i="1" l="1"/>
  <c r="P87" i="1"/>
  <c r="S87" i="1"/>
  <c r="Q87" i="1"/>
  <c r="R88" i="1" l="1"/>
  <c r="R89" i="1" s="1"/>
  <c r="R90" i="1" s="1"/>
  <c r="R91" i="1" s="1"/>
  <c r="R92" i="1" s="1"/>
  <c r="P88" i="1"/>
  <c r="S88" i="1"/>
  <c r="Q88" i="1"/>
  <c r="R93" i="1" l="1"/>
  <c r="P93" i="1"/>
  <c r="S89" i="1"/>
  <c r="Q89" i="1"/>
  <c r="P89" i="1"/>
  <c r="P94" i="1" l="1"/>
  <c r="R94" i="1"/>
  <c r="P90" i="1"/>
  <c r="Q90" i="1"/>
  <c r="S90" i="1"/>
  <c r="P95" i="1" l="1"/>
  <c r="R95" i="1"/>
  <c r="P92" i="1"/>
  <c r="P91" i="1"/>
  <c r="S91" i="1"/>
  <c r="Q91" i="1"/>
  <c r="Q92" i="1" l="1"/>
  <c r="S92" i="1"/>
  <c r="P96" i="1"/>
  <c r="R96" i="1"/>
  <c r="S93" i="1" l="1"/>
  <c r="Q93" i="1"/>
  <c r="R97" i="1"/>
  <c r="P97" i="1"/>
  <c r="R98" i="1" l="1"/>
  <c r="P98" i="1"/>
  <c r="S94" i="1"/>
  <c r="Q94" i="1"/>
  <c r="S95" i="1" l="1"/>
  <c r="Q95" i="1"/>
  <c r="P99" i="1"/>
  <c r="R99" i="1"/>
  <c r="S96" i="1" l="1"/>
  <c r="Q96" i="1"/>
  <c r="R100" i="1"/>
  <c r="P100" i="1"/>
  <c r="P101" i="1" l="1"/>
  <c r="R101" i="1"/>
  <c r="S97" i="1"/>
  <c r="Q97" i="1"/>
  <c r="P102" i="1" l="1"/>
  <c r="R102" i="1"/>
  <c r="Q98" i="1"/>
  <c r="S98" i="1"/>
  <c r="Q99" i="1" l="1"/>
  <c r="S99" i="1"/>
  <c r="P103" i="1"/>
  <c r="R103" i="1"/>
  <c r="Q100" i="1" l="1"/>
  <c r="S100" i="1"/>
  <c r="Q101" i="1" l="1"/>
  <c r="S101" i="1"/>
  <c r="Q102" i="1" l="1"/>
  <c r="S102" i="1"/>
  <c r="Q103" i="1" l="1"/>
  <c r="S103" i="1"/>
</calcChain>
</file>

<file path=xl/sharedStrings.xml><?xml version="1.0" encoding="utf-8"?>
<sst xmlns="http://schemas.openxmlformats.org/spreadsheetml/2006/main" count="472" uniqueCount="76">
  <si>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</si>
  <si>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</si>
  <si>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</si>
  <si>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</si>
  <si>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</si>
  <si>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</si>
  <si>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</si>
  <si>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</si>
  <si>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</si>
  <si>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</si>
  <si>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</si>
  <si>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</si>
  <si>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</si>
  <si>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</si>
  <si>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</si>
  <si>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</si>
  <si>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</si>
  <si>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</si>
  <si>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</si>
  <si>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</si>
  <si>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</si>
  <si>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</si>
  <si>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</si>
  <si>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</si>
  <si>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</si>
  <si>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</si>
  <si>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</si>
  <si>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</si>
  <si>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</si>
  <si>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</si>
  <si>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</si>
  <si>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</si>
  <si>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</si>
  <si>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</si>
  <si>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</si>
  <si>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</si>
  <si>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</si>
  <si>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</si>
  <si>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</si>
  <si>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</si>
  <si>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</si>
  <si>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</si>
  <si>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</si>
  <si>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</si>
  <si>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</si>
  <si>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</si>
  <si>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</si>
  <si>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</si>
  <si>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</si>
  <si>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</si>
  <si>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</si>
  <si>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</si>
  <si>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</si>
  <si>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</si>
  <si>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</si>
  <si>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</si>
  <si>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</si>
  <si>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</si>
  <si>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</si>
  <si>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</si>
  <si>
    <t>LXPioneer</t>
  </si>
  <si>
    <t>LXEdgebrook</t>
  </si>
  <si>
    <t>LRStation</t>
  </si>
  <si>
    <t>LRWhited</t>
  </si>
  <si>
    <t>LXSouth Bank</t>
  </si>
  <si>
    <t>XRCentral</t>
  </si>
  <si>
    <t>XRInglewood</t>
  </si>
  <si>
    <t>XROverbook</t>
  </si>
  <si>
    <t>XRDormont</t>
  </si>
  <si>
    <t>LRMt Lebanon</t>
  </si>
  <si>
    <t>LXPoplar</t>
  </si>
  <si>
    <t>LXCastle Shannon</t>
  </si>
  <si>
    <t>XRGlenbury</t>
  </si>
  <si>
    <t>XROverbrook</t>
  </si>
  <si>
    <t>LXInglewood</t>
  </si>
  <si>
    <t>2425262728292A2B2C2D2E2F303132333435363738397A7B7C7D7E7F808182838485868788898A8B8C8D8E8F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</si>
</sst>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3270" ySplit="900" topLeftCell="H149" activePane="bottomRight"/>
      <selection activeCell="I7" sqref="I7"/>
      <selection pane="topRight" activeCell="T1" sqref="T1:U1048576"/>
      <selection pane="bottomLeft" activeCell="A21" sqref="A21"/>
      <selection pane="bottomRight" activeCell="M65" sqref="M65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55</v>
      </c>
      <c r="Q2" s="1" t="s">
        <v>56</v>
      </c>
      <c r="R2" s="1" t="s">
        <v>57</v>
      </c>
      <c r="S2" s="1" t="s">
        <v>58</v>
      </c>
    </row>
    <row r="3" spans="1:21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t="s">
        <v>75</v>
      </c>
      <c r="M3" s="3" t="s">
        <v>59</v>
      </c>
      <c r="N3" s="3"/>
      <c r="O3" s="3"/>
      <c r="P3" s="3">
        <v>22</v>
      </c>
      <c r="Q3" s="3">
        <v>11</v>
      </c>
      <c r="R3" s="3">
        <v>22</v>
      </c>
      <c r="S3" s="3">
        <v>11</v>
      </c>
      <c r="T3" s="3"/>
      <c r="U3" s="3"/>
    </row>
    <row r="4" spans="1:21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P4" s="3">
        <v>11.7</v>
      </c>
      <c r="Q4" s="3">
        <v>1.6</v>
      </c>
      <c r="R4" s="3">
        <v>11</v>
      </c>
      <c r="S4" s="3">
        <v>1</v>
      </c>
    </row>
    <row r="5" spans="1:21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L5" s="3" t="s">
        <v>60</v>
      </c>
      <c r="P5" s="3">
        <v>12.3</v>
      </c>
      <c r="Q5" s="3">
        <v>2.2999999999999998</v>
      </c>
      <c r="R5" s="3">
        <f t="shared" ref="R5:S10" si="0">P4</f>
        <v>11.7</v>
      </c>
      <c r="S5" s="3">
        <f t="shared" si="0"/>
        <v>1.6</v>
      </c>
    </row>
    <row r="6" spans="1:21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P6" s="3">
        <v>13</v>
      </c>
      <c r="Q6" s="3">
        <v>3</v>
      </c>
      <c r="R6" s="3">
        <f t="shared" si="0"/>
        <v>12.3</v>
      </c>
      <c r="S6" s="3">
        <f t="shared" si="0"/>
        <v>2.2999999999999998</v>
      </c>
    </row>
    <row r="7" spans="1:21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L7" s="3" t="s">
        <v>60</v>
      </c>
      <c r="P7" s="3">
        <v>14</v>
      </c>
      <c r="Q7" s="3">
        <v>3.5</v>
      </c>
      <c r="R7" s="3">
        <f t="shared" si="0"/>
        <v>13</v>
      </c>
      <c r="S7" s="3">
        <f t="shared" si="0"/>
        <v>3</v>
      </c>
    </row>
    <row r="8" spans="1:21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P8" s="3">
        <v>15</v>
      </c>
      <c r="Q8" s="3">
        <v>4</v>
      </c>
      <c r="R8" s="3">
        <f t="shared" si="0"/>
        <v>14</v>
      </c>
      <c r="S8" s="3">
        <f t="shared" si="0"/>
        <v>3.5</v>
      </c>
    </row>
    <row r="9" spans="1:21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P9" s="3">
        <v>16</v>
      </c>
      <c r="Q9" s="3">
        <v>4.5</v>
      </c>
      <c r="R9" s="3">
        <f t="shared" si="0"/>
        <v>15</v>
      </c>
      <c r="S9" s="3">
        <f t="shared" si="0"/>
        <v>4</v>
      </c>
    </row>
    <row r="10" spans="1:21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P10" s="3">
        <v>18</v>
      </c>
      <c r="Q10" s="3">
        <v>4</v>
      </c>
      <c r="R10" s="3">
        <f t="shared" si="0"/>
        <v>16</v>
      </c>
      <c r="S10" s="3">
        <f t="shared" si="0"/>
        <v>4.5</v>
      </c>
    </row>
    <row r="11" spans="1:21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L11" s="3" t="s">
        <v>61</v>
      </c>
      <c r="P11" s="3">
        <v>18</v>
      </c>
      <c r="Q11" s="3">
        <v>2.5</v>
      </c>
      <c r="R11" s="3">
        <f t="shared" ref="R11:R31" si="1">P10</f>
        <v>18</v>
      </c>
      <c r="S11" s="3">
        <f t="shared" ref="S11:S31" si="2">Q10</f>
        <v>4</v>
      </c>
    </row>
    <row r="12" spans="1:21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P12" s="3">
        <v>16.5</v>
      </c>
      <c r="Q12" s="3">
        <v>2</v>
      </c>
      <c r="R12" s="3">
        <f t="shared" ref="R12:R16" si="3">P11</f>
        <v>18</v>
      </c>
      <c r="S12" s="3">
        <f t="shared" ref="S12:S16" si="4">Q11</f>
        <v>2.5</v>
      </c>
    </row>
    <row r="13" spans="1:21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L13" s="3" t="s">
        <v>61</v>
      </c>
      <c r="P13" s="3">
        <v>14.5</v>
      </c>
      <c r="Q13" s="3">
        <v>1.5</v>
      </c>
      <c r="R13" s="3">
        <f t="shared" si="3"/>
        <v>16.5</v>
      </c>
      <c r="S13" s="3">
        <f t="shared" si="4"/>
        <v>2</v>
      </c>
    </row>
    <row r="14" spans="1:21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P14" s="3">
        <v>13</v>
      </c>
      <c r="Q14" s="3">
        <v>1</v>
      </c>
      <c r="R14" s="3">
        <f t="shared" si="3"/>
        <v>14.5</v>
      </c>
      <c r="S14" s="3">
        <f t="shared" si="4"/>
        <v>1.5</v>
      </c>
    </row>
    <row r="15" spans="1:21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P15" s="3">
        <v>11</v>
      </c>
      <c r="Q15" s="3">
        <v>1</v>
      </c>
      <c r="R15" s="3">
        <f t="shared" si="3"/>
        <v>13</v>
      </c>
      <c r="S15" s="3">
        <f t="shared" si="4"/>
        <v>1</v>
      </c>
    </row>
    <row r="16" spans="1:21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>
        <v>10</v>
      </c>
      <c r="Q16" s="3">
        <v>1</v>
      </c>
      <c r="R16" s="3">
        <f t="shared" si="3"/>
        <v>11</v>
      </c>
      <c r="S16" s="3">
        <f t="shared" si="4"/>
        <v>1</v>
      </c>
    </row>
    <row r="17" spans="1:19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P17" s="3">
        <v>9</v>
      </c>
      <c r="Q17" s="3">
        <v>1</v>
      </c>
      <c r="R17" s="3">
        <f t="shared" ref="R17:S19" si="5">P16</f>
        <v>10</v>
      </c>
      <c r="S17" s="3">
        <f t="shared" si="5"/>
        <v>1</v>
      </c>
    </row>
    <row r="18" spans="1:19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L18" s="3" t="s">
        <v>62</v>
      </c>
      <c r="P18" s="3">
        <v>8</v>
      </c>
      <c r="Q18" s="3">
        <v>1</v>
      </c>
      <c r="R18" s="3">
        <f t="shared" si="5"/>
        <v>9</v>
      </c>
      <c r="S18" s="3">
        <f t="shared" si="5"/>
        <v>1</v>
      </c>
    </row>
    <row r="19" spans="1:19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P19" s="3">
        <v>7</v>
      </c>
      <c r="Q19" s="3">
        <v>1</v>
      </c>
      <c r="R19" s="3">
        <f t="shared" si="5"/>
        <v>8</v>
      </c>
      <c r="S19" s="3">
        <f t="shared" si="5"/>
        <v>1</v>
      </c>
    </row>
    <row r="20" spans="1:19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L20" s="3" t="s">
        <v>62</v>
      </c>
      <c r="P20" s="3">
        <v>6</v>
      </c>
      <c r="Q20" s="3">
        <v>1.5</v>
      </c>
      <c r="R20" s="3">
        <f t="shared" si="1"/>
        <v>7</v>
      </c>
      <c r="S20" s="3">
        <f t="shared" si="2"/>
        <v>1</v>
      </c>
    </row>
    <row r="21" spans="1:19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P21" s="3">
        <v>5</v>
      </c>
      <c r="Q21" s="3">
        <v>2</v>
      </c>
      <c r="R21" s="3">
        <f t="shared" si="1"/>
        <v>6</v>
      </c>
      <c r="S21" s="3">
        <f t="shared" si="2"/>
        <v>1.5</v>
      </c>
    </row>
    <row r="22" spans="1:19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P22" s="3">
        <v>4.5</v>
      </c>
      <c r="Q22" s="3">
        <v>3</v>
      </c>
      <c r="R22" s="3">
        <f t="shared" si="1"/>
        <v>5</v>
      </c>
      <c r="S22" s="3">
        <f t="shared" si="2"/>
        <v>2</v>
      </c>
    </row>
    <row r="23" spans="1:19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P23" s="3">
        <v>4.5</v>
      </c>
      <c r="Q23" s="3">
        <v>4</v>
      </c>
      <c r="R23" s="3">
        <f t="shared" si="1"/>
        <v>4.5</v>
      </c>
      <c r="S23" s="3">
        <f t="shared" si="2"/>
        <v>3</v>
      </c>
    </row>
    <row r="24" spans="1:19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L24" s="3" t="s">
        <v>63</v>
      </c>
      <c r="P24" s="3">
        <f>P23</f>
        <v>4.5</v>
      </c>
      <c r="Q24" s="3">
        <f>Q23+0.6</f>
        <v>4.5999999999999996</v>
      </c>
      <c r="R24" s="3">
        <f t="shared" si="1"/>
        <v>4.5</v>
      </c>
      <c r="S24" s="3">
        <f t="shared" si="2"/>
        <v>4</v>
      </c>
    </row>
    <row r="25" spans="1:19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P25" s="3">
        <f t="shared" ref="P25:P31" si="6">P24</f>
        <v>4.5</v>
      </c>
      <c r="Q25" s="3">
        <f t="shared" ref="Q25:Q31" si="7">Q24+0.6</f>
        <v>5.1999999999999993</v>
      </c>
      <c r="R25" s="3">
        <f t="shared" si="1"/>
        <v>4.5</v>
      </c>
      <c r="S25" s="3">
        <f t="shared" si="2"/>
        <v>4.5999999999999996</v>
      </c>
    </row>
    <row r="26" spans="1:19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L26" s="3" t="s">
        <v>63</v>
      </c>
      <c r="P26" s="3">
        <f t="shared" si="6"/>
        <v>4.5</v>
      </c>
      <c r="Q26" s="3">
        <f t="shared" si="7"/>
        <v>5.7999999999999989</v>
      </c>
      <c r="R26" s="3">
        <f t="shared" si="1"/>
        <v>4.5</v>
      </c>
      <c r="S26" s="3">
        <f t="shared" si="2"/>
        <v>5.1999999999999993</v>
      </c>
    </row>
    <row r="27" spans="1:19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P27" s="3">
        <f t="shared" si="6"/>
        <v>4.5</v>
      </c>
      <c r="Q27" s="3">
        <f t="shared" si="7"/>
        <v>6.3999999999999986</v>
      </c>
      <c r="R27" s="3">
        <f t="shared" si="1"/>
        <v>4.5</v>
      </c>
      <c r="S27" s="3">
        <f t="shared" si="2"/>
        <v>5.7999999999999989</v>
      </c>
    </row>
    <row r="28" spans="1:19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P28" s="3">
        <f t="shared" si="6"/>
        <v>4.5</v>
      </c>
      <c r="Q28" s="3">
        <f t="shared" si="7"/>
        <v>6.9999999999999982</v>
      </c>
      <c r="R28" s="3">
        <f t="shared" si="1"/>
        <v>4.5</v>
      </c>
      <c r="S28" s="3">
        <f t="shared" si="2"/>
        <v>6.3999999999999986</v>
      </c>
    </row>
    <row r="29" spans="1:19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P29" s="3">
        <f t="shared" si="6"/>
        <v>4.5</v>
      </c>
      <c r="Q29" s="3">
        <f t="shared" si="7"/>
        <v>7.5999999999999979</v>
      </c>
      <c r="R29" s="3">
        <f t="shared" si="1"/>
        <v>4.5</v>
      </c>
      <c r="S29" s="3">
        <f t="shared" si="2"/>
        <v>6.9999999999999982</v>
      </c>
    </row>
    <row r="30" spans="1:19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P30" s="3">
        <f t="shared" si="6"/>
        <v>4.5</v>
      </c>
      <c r="Q30" s="3">
        <f t="shared" si="7"/>
        <v>8.1999999999999975</v>
      </c>
      <c r="R30" s="3">
        <f t="shared" si="1"/>
        <v>4.5</v>
      </c>
      <c r="S30" s="3">
        <f t="shared" si="2"/>
        <v>7.5999999999999979</v>
      </c>
    </row>
    <row r="31" spans="1:19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>
        <f t="shared" si="6"/>
        <v>4.5</v>
      </c>
      <c r="Q31" s="3">
        <f t="shared" si="7"/>
        <v>8.7999999999999972</v>
      </c>
      <c r="R31" s="3">
        <f t="shared" si="1"/>
        <v>4.5</v>
      </c>
      <c r="S31" s="3">
        <f t="shared" si="2"/>
        <v>8.1999999999999975</v>
      </c>
    </row>
    <row r="32" spans="1:19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P32" s="3">
        <f>P31</f>
        <v>4.5</v>
      </c>
      <c r="Q32" s="3">
        <f>Q31</f>
        <v>8.7999999999999972</v>
      </c>
      <c r="R32" s="3">
        <f>P31</f>
        <v>4.5</v>
      </c>
      <c r="S32" s="3">
        <f>Q31+0.6</f>
        <v>9.3999999999999968</v>
      </c>
    </row>
    <row r="33" spans="1:19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L33" s="3" t="s">
        <v>64</v>
      </c>
      <c r="P33" s="3">
        <f t="shared" ref="P33:P61" si="8">R32</f>
        <v>4.5</v>
      </c>
      <c r="Q33" s="3">
        <f t="shared" ref="Q33:Q61" si="9">S32</f>
        <v>9.3999999999999968</v>
      </c>
      <c r="R33" s="3">
        <f>R32</f>
        <v>4.5</v>
      </c>
      <c r="S33" s="3">
        <f t="shared" ref="S33:S35" si="10">S32+0.6</f>
        <v>9.9999999999999964</v>
      </c>
    </row>
    <row r="34" spans="1:19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P34" s="3">
        <f t="shared" si="8"/>
        <v>4.5</v>
      </c>
      <c r="Q34" s="3">
        <f t="shared" si="9"/>
        <v>9.9999999999999964</v>
      </c>
      <c r="R34" s="3">
        <f>R33</f>
        <v>4.5</v>
      </c>
      <c r="S34" s="3">
        <f t="shared" si="10"/>
        <v>10.599999999999996</v>
      </c>
    </row>
    <row r="35" spans="1:19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L35" s="3" t="s">
        <v>64</v>
      </c>
      <c r="P35" s="3">
        <f t="shared" si="8"/>
        <v>4.5</v>
      </c>
      <c r="Q35" s="3">
        <f t="shared" si="9"/>
        <v>10.599999999999996</v>
      </c>
      <c r="R35" s="3">
        <f>R34</f>
        <v>4.5</v>
      </c>
      <c r="S35" s="3">
        <f t="shared" si="10"/>
        <v>11.199999999999996</v>
      </c>
    </row>
    <row r="36" spans="1:19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P36" s="3">
        <f t="shared" si="8"/>
        <v>4.5</v>
      </c>
      <c r="Q36" s="3">
        <f t="shared" si="9"/>
        <v>11.199999999999996</v>
      </c>
      <c r="R36" s="3">
        <f>R35+0.7</f>
        <v>5.2</v>
      </c>
      <c r="S36" s="3">
        <f>S35+0.8</f>
        <v>11.999999999999996</v>
      </c>
    </row>
    <row r="37" spans="1:19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P37" s="3">
        <f t="shared" si="8"/>
        <v>5.2</v>
      </c>
      <c r="Q37" s="3">
        <f t="shared" si="9"/>
        <v>11.999999999999996</v>
      </c>
      <c r="R37" s="3">
        <f t="shared" ref="R37:R38" si="11">R36+0.7</f>
        <v>5.9</v>
      </c>
      <c r="S37" s="3">
        <f t="shared" ref="S37:S38" si="12">S36+0.8</f>
        <v>12.799999999999997</v>
      </c>
    </row>
    <row r="38" spans="1:19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P38" s="3">
        <f t="shared" si="8"/>
        <v>5.9</v>
      </c>
      <c r="Q38" s="3">
        <f t="shared" si="9"/>
        <v>12.799999999999997</v>
      </c>
      <c r="R38" s="3">
        <f t="shared" si="11"/>
        <v>6.6000000000000005</v>
      </c>
      <c r="S38" s="3">
        <f t="shared" si="12"/>
        <v>13.599999999999998</v>
      </c>
    </row>
    <row r="39" spans="1:19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P39" s="3">
        <f t="shared" si="8"/>
        <v>6.6000000000000005</v>
      </c>
      <c r="Q39" s="3">
        <f t="shared" si="9"/>
        <v>13.599999999999998</v>
      </c>
      <c r="R39" s="3">
        <f>R38+0.5</f>
        <v>7.1000000000000005</v>
      </c>
      <c r="S39" s="3">
        <f>S38</f>
        <v>13.599999999999998</v>
      </c>
    </row>
    <row r="40" spans="1:19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P40" s="3">
        <f t="shared" si="8"/>
        <v>7.1000000000000005</v>
      </c>
      <c r="Q40" s="3">
        <f t="shared" si="9"/>
        <v>13.599999999999998</v>
      </c>
      <c r="R40" s="3">
        <f t="shared" ref="R40:R60" si="13">R39+0.5</f>
        <v>7.6000000000000005</v>
      </c>
      <c r="S40" s="3">
        <f t="shared" ref="S40:S60" si="14">S39</f>
        <v>13.599999999999998</v>
      </c>
    </row>
    <row r="41" spans="1:19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L41" s="3" t="s">
        <v>65</v>
      </c>
      <c r="P41" s="3">
        <f t="shared" si="8"/>
        <v>7.6000000000000005</v>
      </c>
      <c r="Q41" s="3">
        <f t="shared" si="9"/>
        <v>13.599999999999998</v>
      </c>
      <c r="R41" s="3">
        <f t="shared" si="13"/>
        <v>8.1000000000000014</v>
      </c>
      <c r="S41" s="3">
        <f t="shared" si="14"/>
        <v>13.599999999999998</v>
      </c>
    </row>
    <row r="42" spans="1:19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P42" s="3">
        <f t="shared" si="8"/>
        <v>8.1000000000000014</v>
      </c>
      <c r="Q42" s="3">
        <f t="shared" si="9"/>
        <v>13.599999999999998</v>
      </c>
      <c r="R42" s="3">
        <f t="shared" si="13"/>
        <v>8.6000000000000014</v>
      </c>
      <c r="S42" s="3">
        <f t="shared" si="14"/>
        <v>13.599999999999998</v>
      </c>
    </row>
    <row r="43" spans="1:19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L43" s="3" t="s">
        <v>65</v>
      </c>
      <c r="P43" s="3">
        <f t="shared" si="8"/>
        <v>8.6000000000000014</v>
      </c>
      <c r="Q43" s="3">
        <f t="shared" si="9"/>
        <v>13.599999999999998</v>
      </c>
      <c r="R43" s="3">
        <f t="shared" si="13"/>
        <v>9.1000000000000014</v>
      </c>
      <c r="S43" s="3">
        <f t="shared" si="14"/>
        <v>13.599999999999998</v>
      </c>
    </row>
    <row r="44" spans="1:19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P44" s="3">
        <f t="shared" si="8"/>
        <v>9.1000000000000014</v>
      </c>
      <c r="Q44" s="3">
        <f t="shared" si="9"/>
        <v>13.599999999999998</v>
      </c>
      <c r="R44" s="3">
        <f t="shared" si="13"/>
        <v>9.6000000000000014</v>
      </c>
      <c r="S44" s="3">
        <f t="shared" si="14"/>
        <v>13.599999999999998</v>
      </c>
    </row>
    <row r="45" spans="1:19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P45" s="3">
        <f t="shared" si="8"/>
        <v>9.6000000000000014</v>
      </c>
      <c r="Q45" s="3">
        <f t="shared" si="9"/>
        <v>13.599999999999998</v>
      </c>
      <c r="R45" s="3">
        <f t="shared" si="13"/>
        <v>10.100000000000001</v>
      </c>
      <c r="S45" s="3">
        <f t="shared" si="14"/>
        <v>13.599999999999998</v>
      </c>
    </row>
    <row r="46" spans="1:19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P46" s="3">
        <f t="shared" si="8"/>
        <v>10.100000000000001</v>
      </c>
      <c r="Q46" s="3">
        <f t="shared" si="9"/>
        <v>13.599999999999998</v>
      </c>
      <c r="R46" s="3">
        <f t="shared" si="13"/>
        <v>10.600000000000001</v>
      </c>
      <c r="S46" s="3">
        <f t="shared" si="14"/>
        <v>13.599999999999998</v>
      </c>
    </row>
    <row r="47" spans="1:19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P47" s="3">
        <f t="shared" si="8"/>
        <v>10.600000000000001</v>
      </c>
      <c r="Q47" s="3">
        <f t="shared" si="9"/>
        <v>13.599999999999998</v>
      </c>
      <c r="R47" s="3">
        <f t="shared" si="13"/>
        <v>11.100000000000001</v>
      </c>
      <c r="S47" s="3">
        <f t="shared" si="14"/>
        <v>13.599999999999998</v>
      </c>
    </row>
    <row r="48" spans="1:19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P48" s="3">
        <f t="shared" si="8"/>
        <v>11.100000000000001</v>
      </c>
      <c r="Q48" s="3">
        <f t="shared" si="9"/>
        <v>13.599999999999998</v>
      </c>
      <c r="R48" s="3">
        <f t="shared" si="13"/>
        <v>11.600000000000001</v>
      </c>
      <c r="S48" s="3">
        <f t="shared" si="14"/>
        <v>13.599999999999998</v>
      </c>
    </row>
    <row r="49" spans="1:19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P49" s="3">
        <f t="shared" si="8"/>
        <v>11.600000000000001</v>
      </c>
      <c r="Q49" s="3">
        <f t="shared" si="9"/>
        <v>13.599999999999998</v>
      </c>
      <c r="R49" s="3">
        <f t="shared" si="13"/>
        <v>12.100000000000001</v>
      </c>
      <c r="S49" s="3">
        <f t="shared" si="14"/>
        <v>13.599999999999998</v>
      </c>
    </row>
    <row r="50" spans="1:19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L50" s="3" t="s">
        <v>66</v>
      </c>
      <c r="P50" s="3">
        <f t="shared" si="8"/>
        <v>12.100000000000001</v>
      </c>
      <c r="Q50" s="3">
        <f t="shared" si="9"/>
        <v>13.599999999999998</v>
      </c>
      <c r="R50" s="3">
        <f t="shared" si="13"/>
        <v>12.600000000000001</v>
      </c>
      <c r="S50" s="3">
        <f t="shared" si="14"/>
        <v>13.599999999999998</v>
      </c>
    </row>
    <row r="51" spans="1:19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P51" s="3">
        <f t="shared" si="8"/>
        <v>12.600000000000001</v>
      </c>
      <c r="Q51" s="3">
        <f t="shared" si="9"/>
        <v>13.599999999999998</v>
      </c>
      <c r="R51" s="3">
        <f t="shared" si="13"/>
        <v>13.100000000000001</v>
      </c>
      <c r="S51" s="3">
        <f t="shared" si="14"/>
        <v>13.599999999999998</v>
      </c>
    </row>
    <row r="52" spans="1:19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L52" s="3" t="s">
        <v>66</v>
      </c>
      <c r="P52" s="3">
        <f t="shared" si="8"/>
        <v>13.100000000000001</v>
      </c>
      <c r="Q52" s="3">
        <f t="shared" si="9"/>
        <v>13.599999999999998</v>
      </c>
      <c r="R52" s="3">
        <f t="shared" si="13"/>
        <v>13.600000000000001</v>
      </c>
      <c r="S52" s="3">
        <f t="shared" si="14"/>
        <v>13.599999999999998</v>
      </c>
    </row>
    <row r="53" spans="1:19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P53" s="3">
        <f t="shared" si="8"/>
        <v>13.600000000000001</v>
      </c>
      <c r="Q53" s="3">
        <f t="shared" si="9"/>
        <v>13.599999999999998</v>
      </c>
      <c r="R53" s="3">
        <f t="shared" si="13"/>
        <v>14.100000000000001</v>
      </c>
      <c r="S53" s="3">
        <f t="shared" si="14"/>
        <v>13.599999999999998</v>
      </c>
    </row>
    <row r="54" spans="1:19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P54" s="3">
        <f t="shared" si="8"/>
        <v>14.100000000000001</v>
      </c>
      <c r="Q54" s="3">
        <f t="shared" si="9"/>
        <v>13.599999999999998</v>
      </c>
      <c r="R54" s="3">
        <f t="shared" si="13"/>
        <v>14.600000000000001</v>
      </c>
      <c r="S54" s="3">
        <f t="shared" si="14"/>
        <v>13.599999999999998</v>
      </c>
    </row>
    <row r="55" spans="1:19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P55" s="3">
        <f t="shared" si="8"/>
        <v>14.600000000000001</v>
      </c>
      <c r="Q55" s="3">
        <f t="shared" si="9"/>
        <v>13.599999999999998</v>
      </c>
      <c r="R55" s="3">
        <f t="shared" si="13"/>
        <v>15.100000000000001</v>
      </c>
      <c r="S55" s="3">
        <f t="shared" si="14"/>
        <v>13.599999999999998</v>
      </c>
    </row>
    <row r="56" spans="1:19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P56" s="3">
        <f t="shared" si="8"/>
        <v>15.100000000000001</v>
      </c>
      <c r="Q56" s="3">
        <f t="shared" si="9"/>
        <v>13.599999999999998</v>
      </c>
      <c r="R56" s="3">
        <f t="shared" si="13"/>
        <v>15.600000000000001</v>
      </c>
      <c r="S56" s="3">
        <f t="shared" si="14"/>
        <v>13.599999999999998</v>
      </c>
    </row>
    <row r="57" spans="1:19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P57" s="3">
        <f t="shared" si="8"/>
        <v>15.600000000000001</v>
      </c>
      <c r="Q57" s="3">
        <f t="shared" si="9"/>
        <v>13.599999999999998</v>
      </c>
      <c r="R57" s="3">
        <f t="shared" si="13"/>
        <v>16.100000000000001</v>
      </c>
      <c r="S57" s="3">
        <f t="shared" si="14"/>
        <v>13.599999999999998</v>
      </c>
    </row>
    <row r="58" spans="1:19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P58" s="3">
        <f t="shared" si="8"/>
        <v>16.100000000000001</v>
      </c>
      <c r="Q58" s="3">
        <f t="shared" si="9"/>
        <v>13.599999999999998</v>
      </c>
      <c r="R58" s="3">
        <f t="shared" si="13"/>
        <v>16.600000000000001</v>
      </c>
      <c r="S58" s="3">
        <f t="shared" si="14"/>
        <v>13.599999999999998</v>
      </c>
    </row>
    <row r="59" spans="1:19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L59" s="3" t="s">
        <v>67</v>
      </c>
      <c r="P59" s="3">
        <f t="shared" si="8"/>
        <v>16.600000000000001</v>
      </c>
      <c r="Q59" s="3">
        <f t="shared" si="9"/>
        <v>13.599999999999998</v>
      </c>
      <c r="R59" s="3">
        <f t="shared" si="13"/>
        <v>17.100000000000001</v>
      </c>
      <c r="S59" s="3">
        <f t="shared" si="14"/>
        <v>13.599999999999998</v>
      </c>
    </row>
    <row r="60" spans="1:19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P60" s="3">
        <f t="shared" si="8"/>
        <v>17.100000000000001</v>
      </c>
      <c r="Q60" s="3">
        <f t="shared" si="9"/>
        <v>13.599999999999998</v>
      </c>
      <c r="R60" s="3">
        <f t="shared" si="13"/>
        <v>17.600000000000001</v>
      </c>
      <c r="S60" s="3">
        <f t="shared" si="14"/>
        <v>13.599999999999998</v>
      </c>
    </row>
    <row r="61" spans="1:19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L61" s="3" t="s">
        <v>67</v>
      </c>
      <c r="P61" s="3">
        <f t="shared" si="8"/>
        <v>17.600000000000001</v>
      </c>
      <c r="Q61" s="3">
        <f t="shared" si="9"/>
        <v>13.599999999999998</v>
      </c>
      <c r="R61" s="3">
        <f>R60+1</f>
        <v>18.600000000000001</v>
      </c>
      <c r="S61" s="3">
        <f>S60+0.8</f>
        <v>14.399999999999999</v>
      </c>
    </row>
    <row r="62" spans="1:19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P62" s="3">
        <f t="shared" ref="P62:P66" si="15">R61</f>
        <v>18.600000000000001</v>
      </c>
      <c r="Q62" s="3">
        <f t="shared" ref="Q62:Q66" si="16">S61</f>
        <v>14.399999999999999</v>
      </c>
      <c r="R62" s="3">
        <f t="shared" ref="R62:R65" si="17">R61+1</f>
        <v>19.600000000000001</v>
      </c>
      <c r="S62" s="3">
        <f t="shared" ref="S62:S65" si="18">S61+0.8</f>
        <v>15.2</v>
      </c>
    </row>
    <row r="63" spans="1:19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P63" s="3">
        <f t="shared" si="15"/>
        <v>19.600000000000001</v>
      </c>
      <c r="Q63" s="3">
        <f t="shared" si="16"/>
        <v>15.2</v>
      </c>
      <c r="R63" s="3">
        <f t="shared" si="17"/>
        <v>20.6</v>
      </c>
      <c r="S63" s="3">
        <f t="shared" si="18"/>
        <v>16</v>
      </c>
    </row>
    <row r="64" spans="1:19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P64" s="3">
        <f t="shared" si="15"/>
        <v>20.6</v>
      </c>
      <c r="Q64" s="3">
        <f t="shared" si="16"/>
        <v>16</v>
      </c>
      <c r="R64" s="3">
        <f t="shared" si="17"/>
        <v>21.6</v>
      </c>
      <c r="S64" s="3">
        <f t="shared" si="18"/>
        <v>16.8</v>
      </c>
    </row>
    <row r="65" spans="1:19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>
        <f t="shared" si="15"/>
        <v>21.6</v>
      </c>
      <c r="Q65" s="3">
        <f t="shared" si="16"/>
        <v>16.8</v>
      </c>
      <c r="R65" s="3">
        <f t="shared" si="17"/>
        <v>22.6</v>
      </c>
      <c r="S65" s="3">
        <f t="shared" si="18"/>
        <v>17.600000000000001</v>
      </c>
    </row>
    <row r="66" spans="1:19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P66" s="3">
        <f t="shared" si="15"/>
        <v>22.6</v>
      </c>
      <c r="Q66" s="3">
        <f t="shared" si="16"/>
        <v>17.600000000000001</v>
      </c>
      <c r="R66" s="3">
        <f>R65</f>
        <v>22.6</v>
      </c>
      <c r="S66" s="3">
        <f>S65+1</f>
        <v>18.600000000000001</v>
      </c>
    </row>
    <row r="67" spans="1:19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L67" s="3" t="s">
        <v>72</v>
      </c>
      <c r="P67" s="3">
        <f t="shared" ref="P67:P130" si="19">R66</f>
        <v>22.6</v>
      </c>
      <c r="Q67" s="3">
        <f t="shared" ref="Q67:Q130" si="20">S66</f>
        <v>18.600000000000001</v>
      </c>
      <c r="R67" s="3">
        <f t="shared" ref="R67:R71" si="21">R66</f>
        <v>22.6</v>
      </c>
      <c r="S67" s="3">
        <f>S66+1</f>
        <v>19.600000000000001</v>
      </c>
    </row>
    <row r="68" spans="1:19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P68" s="3">
        <f t="shared" si="19"/>
        <v>22.6</v>
      </c>
      <c r="Q68" s="3">
        <f t="shared" si="20"/>
        <v>19.600000000000001</v>
      </c>
      <c r="R68" s="3">
        <f t="shared" si="21"/>
        <v>22.6</v>
      </c>
      <c r="S68" s="3">
        <f>S65+4.2</f>
        <v>21.8</v>
      </c>
    </row>
    <row r="69" spans="1:19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L69" s="3" t="s">
        <v>72</v>
      </c>
      <c r="P69" s="3">
        <f t="shared" si="19"/>
        <v>22.6</v>
      </c>
      <c r="Q69" s="3">
        <f t="shared" si="20"/>
        <v>21.8</v>
      </c>
      <c r="R69" s="3">
        <f t="shared" si="21"/>
        <v>22.6</v>
      </c>
      <c r="S69" s="3">
        <f>S68+2.2</f>
        <v>24</v>
      </c>
    </row>
    <row r="70" spans="1:19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P70" s="3">
        <f t="shared" si="19"/>
        <v>22.6</v>
      </c>
      <c r="Q70" s="3">
        <f t="shared" si="20"/>
        <v>24</v>
      </c>
      <c r="R70" s="3">
        <f t="shared" si="21"/>
        <v>22.6</v>
      </c>
      <c r="S70" s="3">
        <f>S69+1</f>
        <v>25</v>
      </c>
    </row>
    <row r="71" spans="1:19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P71" s="3">
        <f t="shared" si="19"/>
        <v>22.6</v>
      </c>
      <c r="Q71" s="3">
        <f t="shared" si="20"/>
        <v>25</v>
      </c>
      <c r="R71" s="3">
        <f t="shared" si="21"/>
        <v>22.6</v>
      </c>
      <c r="S71" s="3">
        <f>S68+4.2</f>
        <v>26</v>
      </c>
    </row>
    <row r="72" spans="1:19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P72" s="3">
        <f t="shared" si="19"/>
        <v>22.6</v>
      </c>
      <c r="Q72" s="3">
        <f t="shared" si="20"/>
        <v>26</v>
      </c>
      <c r="R72" s="3">
        <f>R71-0.7</f>
        <v>21.900000000000002</v>
      </c>
      <c r="S72" s="3">
        <f>S71+1</f>
        <v>27</v>
      </c>
    </row>
    <row r="73" spans="1:19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P73" s="3">
        <f t="shared" si="19"/>
        <v>21.900000000000002</v>
      </c>
      <c r="Q73" s="3">
        <f t="shared" si="20"/>
        <v>27</v>
      </c>
      <c r="R73" s="3">
        <f t="shared" ref="R73:R76" si="22">R72-0.7</f>
        <v>21.200000000000003</v>
      </c>
      <c r="S73" s="3">
        <f t="shared" ref="S73:S76" si="23">S72+1</f>
        <v>28</v>
      </c>
    </row>
    <row r="74" spans="1:19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P74" s="3">
        <f t="shared" si="19"/>
        <v>21.200000000000003</v>
      </c>
      <c r="Q74" s="3">
        <f t="shared" si="20"/>
        <v>28</v>
      </c>
      <c r="R74" s="3">
        <f t="shared" si="22"/>
        <v>20.500000000000004</v>
      </c>
      <c r="S74" s="3">
        <f t="shared" si="23"/>
        <v>29</v>
      </c>
    </row>
    <row r="75" spans="1:19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L75" s="3" t="s">
        <v>68</v>
      </c>
      <c r="P75" s="3">
        <f t="shared" si="19"/>
        <v>20.500000000000004</v>
      </c>
      <c r="Q75" s="3">
        <f t="shared" si="20"/>
        <v>29</v>
      </c>
      <c r="R75" s="3">
        <f t="shared" si="22"/>
        <v>19.800000000000004</v>
      </c>
      <c r="S75" s="3">
        <f t="shared" si="23"/>
        <v>30</v>
      </c>
    </row>
    <row r="76" spans="1:19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P76" s="3">
        <f t="shared" si="19"/>
        <v>19.800000000000004</v>
      </c>
      <c r="Q76" s="3">
        <f t="shared" si="20"/>
        <v>30</v>
      </c>
      <c r="R76" s="3">
        <f t="shared" si="22"/>
        <v>19.100000000000005</v>
      </c>
      <c r="S76" s="3">
        <f t="shared" si="23"/>
        <v>31</v>
      </c>
    </row>
    <row r="77" spans="1:19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L77" s="3" t="s">
        <v>68</v>
      </c>
      <c r="P77" s="3">
        <f t="shared" si="19"/>
        <v>19.100000000000005</v>
      </c>
      <c r="Q77" s="3">
        <f t="shared" si="20"/>
        <v>31</v>
      </c>
      <c r="R77" s="3">
        <f>R76-2.2</f>
        <v>16.900000000000006</v>
      </c>
      <c r="S77" s="3">
        <f>S76</f>
        <v>31</v>
      </c>
    </row>
    <row r="78" spans="1:19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P78" s="3">
        <f t="shared" si="19"/>
        <v>16.900000000000006</v>
      </c>
      <c r="Q78" s="3">
        <f t="shared" si="20"/>
        <v>31</v>
      </c>
      <c r="R78" s="3">
        <f t="shared" ref="R78:R79" si="24">R77-2.2</f>
        <v>14.700000000000006</v>
      </c>
      <c r="S78" s="3">
        <f t="shared" ref="S78:S79" si="25">S77</f>
        <v>31</v>
      </c>
    </row>
    <row r="79" spans="1:19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L79" s="3" t="s">
        <v>69</v>
      </c>
      <c r="P79" s="3">
        <f t="shared" si="19"/>
        <v>14.700000000000006</v>
      </c>
      <c r="Q79" s="3">
        <f t="shared" si="20"/>
        <v>31</v>
      </c>
      <c r="R79" s="3">
        <f t="shared" si="24"/>
        <v>12.500000000000007</v>
      </c>
      <c r="S79" s="3">
        <f t="shared" si="25"/>
        <v>31</v>
      </c>
    </row>
    <row r="80" spans="1:19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J80" s="3">
        <v>76</v>
      </c>
      <c r="K80" s="3">
        <v>101</v>
      </c>
      <c r="M80" s="3" t="s">
        <v>52</v>
      </c>
      <c r="N80" s="3" t="s">
        <v>17</v>
      </c>
      <c r="P80" s="3">
        <f t="shared" si="19"/>
        <v>12.500000000000007</v>
      </c>
      <c r="Q80" s="3">
        <f t="shared" si="20"/>
        <v>31</v>
      </c>
      <c r="R80" s="3">
        <f>R79-0.6</f>
        <v>11.900000000000007</v>
      </c>
      <c r="S80" s="3">
        <f>S79</f>
        <v>31</v>
      </c>
    </row>
    <row r="81" spans="1:19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L81" s="3" t="s">
        <v>69</v>
      </c>
      <c r="P81" s="3">
        <f t="shared" si="19"/>
        <v>11.900000000000007</v>
      </c>
      <c r="Q81" s="3">
        <f t="shared" si="20"/>
        <v>31</v>
      </c>
      <c r="R81" s="3">
        <f t="shared" ref="R81:R87" si="26">R80-0.6</f>
        <v>11.300000000000008</v>
      </c>
      <c r="S81" s="3">
        <f t="shared" ref="S81:S88" si="27">S80</f>
        <v>31</v>
      </c>
    </row>
    <row r="82" spans="1:19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P82" s="3">
        <f t="shared" si="19"/>
        <v>11.300000000000008</v>
      </c>
      <c r="Q82" s="3">
        <f t="shared" si="20"/>
        <v>31</v>
      </c>
      <c r="R82" s="3">
        <f t="shared" si="26"/>
        <v>10.700000000000008</v>
      </c>
      <c r="S82" s="3">
        <f t="shared" si="27"/>
        <v>31</v>
      </c>
    </row>
    <row r="83" spans="1:19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P83" s="3">
        <f t="shared" si="19"/>
        <v>10.700000000000008</v>
      </c>
      <c r="Q83" s="3">
        <f t="shared" si="20"/>
        <v>31</v>
      </c>
      <c r="R83" s="3">
        <f t="shared" si="26"/>
        <v>10.100000000000009</v>
      </c>
      <c r="S83" s="3">
        <f t="shared" si="27"/>
        <v>31</v>
      </c>
    </row>
    <row r="84" spans="1:19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P84" s="3">
        <f t="shared" si="19"/>
        <v>10.100000000000009</v>
      </c>
      <c r="Q84" s="3">
        <f t="shared" si="20"/>
        <v>31</v>
      </c>
      <c r="R84" s="3">
        <f t="shared" si="26"/>
        <v>9.5000000000000089</v>
      </c>
      <c r="S84" s="3">
        <f t="shared" si="27"/>
        <v>31</v>
      </c>
    </row>
    <row r="85" spans="1:19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P85" s="3">
        <f t="shared" si="19"/>
        <v>9.5000000000000089</v>
      </c>
      <c r="Q85" s="3">
        <f t="shared" si="20"/>
        <v>31</v>
      </c>
      <c r="R85" s="3">
        <f t="shared" si="26"/>
        <v>8.9000000000000092</v>
      </c>
      <c r="S85" s="3">
        <f t="shared" si="27"/>
        <v>31</v>
      </c>
    </row>
    <row r="86" spans="1:19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P86" s="3">
        <f t="shared" si="19"/>
        <v>8.9000000000000092</v>
      </c>
      <c r="Q86" s="3">
        <f t="shared" si="20"/>
        <v>31</v>
      </c>
      <c r="R86" s="3">
        <f t="shared" si="26"/>
        <v>8.3000000000000096</v>
      </c>
      <c r="S86" s="3">
        <f t="shared" si="27"/>
        <v>31</v>
      </c>
    </row>
    <row r="87" spans="1:19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P87" s="3">
        <f t="shared" si="19"/>
        <v>8.3000000000000096</v>
      </c>
      <c r="Q87" s="3">
        <f t="shared" si="20"/>
        <v>31</v>
      </c>
      <c r="R87" s="3">
        <f t="shared" si="26"/>
        <v>7.7000000000000099</v>
      </c>
      <c r="S87" s="3">
        <f t="shared" si="27"/>
        <v>31</v>
      </c>
    </row>
    <row r="88" spans="1:19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>
        <f t="shared" si="19"/>
        <v>7.7000000000000099</v>
      </c>
      <c r="Q88" s="3">
        <f t="shared" si="20"/>
        <v>31</v>
      </c>
      <c r="R88" s="3">
        <f>R87-0.6</f>
        <v>7.1000000000000103</v>
      </c>
      <c r="S88" s="3">
        <f t="shared" si="27"/>
        <v>31</v>
      </c>
    </row>
    <row r="89" spans="1:19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P89" s="3">
        <f>R88</f>
        <v>7.1000000000000103</v>
      </c>
      <c r="Q89" s="3">
        <f t="shared" si="20"/>
        <v>31</v>
      </c>
      <c r="R89" s="3">
        <f>R88-1.2</f>
        <v>5.9000000000000101</v>
      </c>
      <c r="S89" s="3">
        <f>S88</f>
        <v>31</v>
      </c>
    </row>
    <row r="90" spans="1:19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L90" s="3" t="s">
        <v>70</v>
      </c>
      <c r="P90" s="3">
        <f>R89</f>
        <v>5.9000000000000101</v>
      </c>
      <c r="Q90" s="3">
        <f t="shared" si="20"/>
        <v>31</v>
      </c>
      <c r="R90" s="3">
        <f t="shared" ref="R90:R91" si="28">R89-1.2</f>
        <v>4.7000000000000099</v>
      </c>
      <c r="S90" s="3">
        <f t="shared" ref="S90:S91" si="29">S89</f>
        <v>31</v>
      </c>
    </row>
    <row r="91" spans="1:19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P91" s="3">
        <f t="shared" si="19"/>
        <v>4.7000000000000099</v>
      </c>
      <c r="Q91" s="3">
        <f t="shared" si="20"/>
        <v>31</v>
      </c>
      <c r="R91" s="3">
        <f t="shared" si="28"/>
        <v>3.5000000000000098</v>
      </c>
      <c r="S91" s="3">
        <f t="shared" si="29"/>
        <v>31</v>
      </c>
    </row>
    <row r="92" spans="1:19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L92" s="3" t="s">
        <v>70</v>
      </c>
      <c r="P92" s="3">
        <f t="shared" si="19"/>
        <v>3.5000000000000098</v>
      </c>
      <c r="Q92" s="3">
        <f t="shared" si="20"/>
        <v>31</v>
      </c>
      <c r="R92" s="3">
        <f>R91-0.5</f>
        <v>3.0000000000000098</v>
      </c>
      <c r="S92" s="3">
        <f>S91-0.8</f>
        <v>30.2</v>
      </c>
    </row>
    <row r="93" spans="1:19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P93" s="3">
        <f t="shared" si="19"/>
        <v>3.0000000000000098</v>
      </c>
      <c r="Q93" s="3">
        <f t="shared" si="20"/>
        <v>30.2</v>
      </c>
      <c r="R93" s="3">
        <f t="shared" ref="R93:R94" si="30">R92-0.5</f>
        <v>2.5000000000000098</v>
      </c>
      <c r="S93" s="3">
        <f t="shared" ref="S93:S97" si="31">S92-0.8</f>
        <v>29.4</v>
      </c>
    </row>
    <row r="94" spans="1:19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P94" s="3">
        <f t="shared" si="19"/>
        <v>2.5000000000000098</v>
      </c>
      <c r="Q94" s="3">
        <f t="shared" si="20"/>
        <v>29.4</v>
      </c>
      <c r="R94" s="3">
        <f t="shared" si="30"/>
        <v>2.0000000000000098</v>
      </c>
      <c r="S94" s="3">
        <f t="shared" si="31"/>
        <v>28.599999999999998</v>
      </c>
    </row>
    <row r="95" spans="1:19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P95" s="3">
        <f t="shared" si="19"/>
        <v>2.0000000000000098</v>
      </c>
      <c r="Q95" s="3">
        <f t="shared" si="20"/>
        <v>28.599999999999998</v>
      </c>
      <c r="R95" s="3">
        <f>R94+0.5</f>
        <v>2.5000000000000098</v>
      </c>
      <c r="S95" s="3">
        <f t="shared" si="31"/>
        <v>27.799999999999997</v>
      </c>
    </row>
    <row r="96" spans="1:19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P96" s="3">
        <f t="shared" si="19"/>
        <v>2.5000000000000098</v>
      </c>
      <c r="Q96" s="3">
        <f t="shared" si="20"/>
        <v>27.799999999999997</v>
      </c>
      <c r="R96" s="3">
        <f t="shared" ref="R96:R100" si="32">R95+0.5</f>
        <v>3.0000000000000098</v>
      </c>
      <c r="S96" s="3">
        <f t="shared" si="31"/>
        <v>26.999999999999996</v>
      </c>
    </row>
    <row r="97" spans="1:19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P97" s="3">
        <f t="shared" si="19"/>
        <v>3.0000000000000098</v>
      </c>
      <c r="Q97" s="3">
        <f t="shared" si="20"/>
        <v>26.999999999999996</v>
      </c>
      <c r="R97" s="3">
        <f t="shared" si="32"/>
        <v>3.5000000000000098</v>
      </c>
      <c r="S97" s="3">
        <f t="shared" si="31"/>
        <v>26.199999999999996</v>
      </c>
    </row>
    <row r="98" spans="1:19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L98" s="3" t="s">
        <v>71</v>
      </c>
      <c r="P98" s="3">
        <f t="shared" si="19"/>
        <v>3.5000000000000098</v>
      </c>
      <c r="Q98" s="3">
        <f t="shared" si="20"/>
        <v>26.199999999999996</v>
      </c>
      <c r="R98" s="3">
        <f t="shared" si="32"/>
        <v>4.0000000000000098</v>
      </c>
      <c r="S98" s="3">
        <f>S97+0.8</f>
        <v>26.999999999999996</v>
      </c>
    </row>
    <row r="99" spans="1:19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P99" s="3">
        <f t="shared" si="19"/>
        <v>4.0000000000000098</v>
      </c>
      <c r="Q99" s="3">
        <f t="shared" si="20"/>
        <v>26.999999999999996</v>
      </c>
      <c r="R99" s="3">
        <f t="shared" si="32"/>
        <v>4.5000000000000098</v>
      </c>
      <c r="S99" s="3">
        <f t="shared" ref="S99:S100" si="33">S98+0.8</f>
        <v>27.799999999999997</v>
      </c>
    </row>
    <row r="100" spans="1:19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L100" s="3" t="s">
        <v>71</v>
      </c>
      <c r="P100" s="3">
        <f t="shared" si="19"/>
        <v>4.5000000000000098</v>
      </c>
      <c r="Q100" s="3">
        <f t="shared" si="20"/>
        <v>27.799999999999997</v>
      </c>
      <c r="R100" s="3">
        <f t="shared" si="32"/>
        <v>5.0000000000000098</v>
      </c>
      <c r="S100" s="3">
        <f t="shared" si="33"/>
        <v>28.599999999999998</v>
      </c>
    </row>
    <row r="101" spans="1:19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P101" s="3">
        <f t="shared" si="19"/>
        <v>5.0000000000000098</v>
      </c>
      <c r="Q101" s="3">
        <f t="shared" si="20"/>
        <v>28.599999999999998</v>
      </c>
      <c r="R101" s="3">
        <f>R100+0.7</f>
        <v>5.7000000000000099</v>
      </c>
      <c r="S101" s="3">
        <f>S100+0.8</f>
        <v>29.4</v>
      </c>
    </row>
    <row r="102" spans="1:19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P102" s="3">
        <f t="shared" si="19"/>
        <v>5.7000000000000099</v>
      </c>
      <c r="Q102" s="3">
        <f t="shared" si="20"/>
        <v>29.4</v>
      </c>
      <c r="R102" s="3">
        <f t="shared" ref="R102:R103" si="34">R101+0.7</f>
        <v>6.4000000000000101</v>
      </c>
      <c r="S102" s="3">
        <f t="shared" ref="S102:S103" si="35">S101+0.8</f>
        <v>30.2</v>
      </c>
    </row>
    <row r="103" spans="1:19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P103" s="3">
        <f t="shared" si="19"/>
        <v>6.4000000000000101</v>
      </c>
      <c r="Q103" s="3">
        <f t="shared" si="20"/>
        <v>30.2</v>
      </c>
      <c r="R103" s="3">
        <f t="shared" si="34"/>
        <v>7.1000000000000103</v>
      </c>
      <c r="S103" s="3">
        <f t="shared" si="35"/>
        <v>31</v>
      </c>
    </row>
    <row r="104" spans="1:19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P104" s="3">
        <v>12.500000000000007</v>
      </c>
      <c r="Q104" s="3">
        <v>31</v>
      </c>
      <c r="R104" s="3">
        <v>14</v>
      </c>
      <c r="S104" s="3">
        <v>29</v>
      </c>
    </row>
    <row r="105" spans="1:19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P105" s="3">
        <f t="shared" si="19"/>
        <v>14</v>
      </c>
      <c r="Q105" s="3">
        <f t="shared" si="20"/>
        <v>29</v>
      </c>
      <c r="R105" s="3">
        <v>15</v>
      </c>
      <c r="S105" s="3">
        <v>29</v>
      </c>
    </row>
    <row r="106" spans="1:19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P106" s="3">
        <f t="shared" si="19"/>
        <v>15</v>
      </c>
      <c r="Q106" s="3">
        <f t="shared" si="20"/>
        <v>29</v>
      </c>
      <c r="R106" s="3">
        <v>16</v>
      </c>
      <c r="S106" s="3">
        <v>29</v>
      </c>
    </row>
    <row r="107" spans="1:19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L107" s="3" t="s">
        <v>68</v>
      </c>
      <c r="P107" s="3">
        <f t="shared" si="19"/>
        <v>16</v>
      </c>
      <c r="Q107" s="3">
        <f t="shared" si="20"/>
        <v>29</v>
      </c>
      <c r="R107" s="3">
        <v>17</v>
      </c>
      <c r="S107" s="3">
        <v>29</v>
      </c>
    </row>
    <row r="108" spans="1:19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P108" s="3">
        <f t="shared" si="19"/>
        <v>17</v>
      </c>
      <c r="Q108" s="3">
        <f t="shared" si="20"/>
        <v>29</v>
      </c>
      <c r="R108" s="3">
        <f>R107+0.8</f>
        <v>17.8</v>
      </c>
      <c r="S108" s="3">
        <f>S107-1</f>
        <v>28</v>
      </c>
    </row>
    <row r="109" spans="1:19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L109" s="3" t="s">
        <v>68</v>
      </c>
      <c r="P109" s="3">
        <f t="shared" si="19"/>
        <v>17.8</v>
      </c>
      <c r="Q109" s="3">
        <f t="shared" si="20"/>
        <v>28</v>
      </c>
      <c r="R109" s="3">
        <f t="shared" ref="R109:R112" si="36">R108+0.8</f>
        <v>18.600000000000001</v>
      </c>
      <c r="S109" s="3">
        <f t="shared" ref="S109:S112" si="37">S108-1</f>
        <v>27</v>
      </c>
    </row>
    <row r="110" spans="1:19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P110" s="3">
        <f t="shared" si="19"/>
        <v>18.600000000000001</v>
      </c>
      <c r="Q110" s="3">
        <f t="shared" si="20"/>
        <v>27</v>
      </c>
      <c r="R110" s="3">
        <f t="shared" si="36"/>
        <v>19.400000000000002</v>
      </c>
      <c r="S110" s="3">
        <f t="shared" si="37"/>
        <v>26</v>
      </c>
    </row>
    <row r="111" spans="1:19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P111" s="3">
        <f t="shared" si="19"/>
        <v>19.400000000000002</v>
      </c>
      <c r="Q111" s="3">
        <f t="shared" si="20"/>
        <v>26</v>
      </c>
      <c r="R111" s="3">
        <f t="shared" si="36"/>
        <v>20.200000000000003</v>
      </c>
      <c r="S111" s="3">
        <f t="shared" si="37"/>
        <v>25</v>
      </c>
    </row>
    <row r="112" spans="1:19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P112" s="3">
        <f t="shared" si="19"/>
        <v>20.200000000000003</v>
      </c>
      <c r="Q112" s="3">
        <f t="shared" si="20"/>
        <v>25</v>
      </c>
      <c r="R112" s="3">
        <f t="shared" si="36"/>
        <v>21.000000000000004</v>
      </c>
      <c r="S112" s="3">
        <f t="shared" si="37"/>
        <v>24</v>
      </c>
    </row>
    <row r="113" spans="1:19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P113" s="3">
        <f t="shared" si="19"/>
        <v>21.000000000000004</v>
      </c>
      <c r="Q113" s="3">
        <f t="shared" si="20"/>
        <v>24</v>
      </c>
      <c r="R113" s="3">
        <f>R112</f>
        <v>21.000000000000004</v>
      </c>
      <c r="S113" s="3">
        <f>S112-0.7</f>
        <v>23.3</v>
      </c>
    </row>
    <row r="114" spans="1:19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P114" s="3">
        <f t="shared" si="19"/>
        <v>21.000000000000004</v>
      </c>
      <c r="Q114" s="3">
        <f t="shared" si="20"/>
        <v>23.3</v>
      </c>
      <c r="R114" s="3">
        <f t="shared" ref="R114:R119" si="38">R113</f>
        <v>21.000000000000004</v>
      </c>
      <c r="S114" s="3">
        <f t="shared" ref="S114:S119" si="39">S113-0.7</f>
        <v>22.6</v>
      </c>
    </row>
    <row r="115" spans="1:19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P115" s="3">
        <f t="shared" si="19"/>
        <v>21.000000000000004</v>
      </c>
      <c r="Q115" s="3">
        <f t="shared" si="20"/>
        <v>22.6</v>
      </c>
      <c r="R115" s="3">
        <f t="shared" si="38"/>
        <v>21.000000000000004</v>
      </c>
      <c r="S115" s="3">
        <f t="shared" si="39"/>
        <v>21.900000000000002</v>
      </c>
    </row>
    <row r="116" spans="1:19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L116" s="3" t="s">
        <v>72</v>
      </c>
      <c r="P116" s="3">
        <f t="shared" si="19"/>
        <v>21.000000000000004</v>
      </c>
      <c r="Q116" s="3">
        <f t="shared" si="20"/>
        <v>21.900000000000002</v>
      </c>
      <c r="R116" s="3">
        <f t="shared" si="38"/>
        <v>21.000000000000004</v>
      </c>
      <c r="S116" s="3">
        <f t="shared" si="39"/>
        <v>21.200000000000003</v>
      </c>
    </row>
    <row r="117" spans="1:19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P117" s="3">
        <f t="shared" si="19"/>
        <v>21.000000000000004</v>
      </c>
      <c r="Q117" s="3">
        <f t="shared" si="20"/>
        <v>21.200000000000003</v>
      </c>
      <c r="R117" s="3">
        <f t="shared" si="38"/>
        <v>21.000000000000004</v>
      </c>
      <c r="S117" s="3">
        <f t="shared" si="39"/>
        <v>20.500000000000004</v>
      </c>
    </row>
    <row r="118" spans="1:19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L118" s="3" t="s">
        <v>72</v>
      </c>
      <c r="P118" s="3">
        <f t="shared" si="19"/>
        <v>21.000000000000004</v>
      </c>
      <c r="Q118" s="3">
        <f t="shared" si="20"/>
        <v>20.500000000000004</v>
      </c>
      <c r="R118" s="3">
        <f t="shared" si="38"/>
        <v>21.000000000000004</v>
      </c>
      <c r="S118" s="3">
        <f t="shared" si="39"/>
        <v>19.800000000000004</v>
      </c>
    </row>
    <row r="119" spans="1:19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P119" s="3">
        <f t="shared" si="19"/>
        <v>21.000000000000004</v>
      </c>
      <c r="Q119" s="3">
        <f t="shared" si="20"/>
        <v>19.800000000000004</v>
      </c>
      <c r="R119" s="3">
        <f t="shared" si="38"/>
        <v>21.000000000000004</v>
      </c>
      <c r="S119" s="3">
        <f t="shared" si="39"/>
        <v>19.100000000000005</v>
      </c>
    </row>
    <row r="120" spans="1:19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P120" s="3">
        <f t="shared" si="19"/>
        <v>21.000000000000004</v>
      </c>
      <c r="Q120" s="3">
        <f t="shared" si="20"/>
        <v>19.100000000000005</v>
      </c>
      <c r="R120" s="3">
        <f>R119-0.9</f>
        <v>20.100000000000005</v>
      </c>
      <c r="S120" s="3">
        <f>S119-0.8</f>
        <v>18.300000000000004</v>
      </c>
    </row>
    <row r="121" spans="1:19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P121" s="3">
        <f t="shared" si="19"/>
        <v>20.100000000000005</v>
      </c>
      <c r="Q121" s="3">
        <f t="shared" si="20"/>
        <v>18.300000000000004</v>
      </c>
      <c r="R121" s="3">
        <f>R120-0.9</f>
        <v>19.200000000000006</v>
      </c>
      <c r="S121" s="3">
        <f t="shared" ref="S121:S124" si="40">S120-0.8</f>
        <v>17.500000000000004</v>
      </c>
    </row>
    <row r="122" spans="1:19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P122" s="3">
        <f t="shared" si="19"/>
        <v>19.200000000000006</v>
      </c>
      <c r="Q122" s="3">
        <f t="shared" si="20"/>
        <v>17.500000000000004</v>
      </c>
      <c r="R122" s="3">
        <f t="shared" ref="R122:R124" si="41">R121-0.9</f>
        <v>18.300000000000008</v>
      </c>
      <c r="S122" s="3">
        <f t="shared" si="40"/>
        <v>16.700000000000003</v>
      </c>
    </row>
    <row r="123" spans="1:19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P123" s="3">
        <f t="shared" si="19"/>
        <v>18.300000000000008</v>
      </c>
      <c r="Q123" s="3">
        <f t="shared" si="20"/>
        <v>16.700000000000003</v>
      </c>
      <c r="R123" s="3">
        <f t="shared" si="41"/>
        <v>17.400000000000009</v>
      </c>
      <c r="S123" s="3">
        <f t="shared" si="40"/>
        <v>15.900000000000002</v>
      </c>
    </row>
    <row r="124" spans="1:19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P124" s="3">
        <f t="shared" si="19"/>
        <v>17.400000000000009</v>
      </c>
      <c r="Q124" s="3">
        <f t="shared" si="20"/>
        <v>15.900000000000002</v>
      </c>
      <c r="R124" s="3">
        <f t="shared" si="41"/>
        <v>16.500000000000011</v>
      </c>
      <c r="S124" s="3">
        <f t="shared" si="40"/>
        <v>15.100000000000001</v>
      </c>
    </row>
    <row r="125" spans="1:19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L125" s="3" t="s">
        <v>73</v>
      </c>
      <c r="P125" s="3">
        <f t="shared" si="19"/>
        <v>16.500000000000011</v>
      </c>
      <c r="Q125" s="3">
        <f t="shared" si="20"/>
        <v>15.100000000000001</v>
      </c>
      <c r="R125" s="3">
        <f>R124-0.5</f>
        <v>16.000000000000011</v>
      </c>
      <c r="S125" s="3">
        <f>S124</f>
        <v>15.100000000000001</v>
      </c>
    </row>
    <row r="126" spans="1:19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P126" s="3">
        <f t="shared" si="19"/>
        <v>16.000000000000011</v>
      </c>
      <c r="Q126" s="3">
        <f t="shared" si="20"/>
        <v>15.100000000000001</v>
      </c>
      <c r="R126" s="3">
        <f t="shared" ref="R126:R146" si="42">R125-0.5</f>
        <v>15.500000000000011</v>
      </c>
      <c r="S126" s="3">
        <f t="shared" ref="S126:S146" si="43">S125</f>
        <v>15.100000000000001</v>
      </c>
    </row>
    <row r="127" spans="1:19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L127" s="3" t="s">
        <v>73</v>
      </c>
      <c r="P127" s="3">
        <f t="shared" si="19"/>
        <v>15.500000000000011</v>
      </c>
      <c r="Q127" s="3">
        <f t="shared" si="20"/>
        <v>15.100000000000001</v>
      </c>
      <c r="R127" s="3">
        <f t="shared" si="42"/>
        <v>15.000000000000011</v>
      </c>
      <c r="S127" s="3">
        <f t="shared" si="43"/>
        <v>15.100000000000001</v>
      </c>
    </row>
    <row r="128" spans="1:19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P128" s="3">
        <f t="shared" si="19"/>
        <v>15.000000000000011</v>
      </c>
      <c r="Q128" s="3">
        <f t="shared" si="20"/>
        <v>15.100000000000001</v>
      </c>
      <c r="R128" s="3">
        <f t="shared" si="42"/>
        <v>14.500000000000011</v>
      </c>
      <c r="S128" s="3">
        <f t="shared" si="43"/>
        <v>15.100000000000001</v>
      </c>
    </row>
    <row r="129" spans="1:19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P129" s="3">
        <f t="shared" si="19"/>
        <v>14.500000000000011</v>
      </c>
      <c r="Q129" s="3">
        <f t="shared" si="20"/>
        <v>15.100000000000001</v>
      </c>
      <c r="R129" s="3">
        <f t="shared" si="42"/>
        <v>14.000000000000011</v>
      </c>
      <c r="S129" s="3">
        <f t="shared" si="43"/>
        <v>15.100000000000001</v>
      </c>
    </row>
    <row r="130" spans="1:19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P130" s="3">
        <f t="shared" si="19"/>
        <v>14.000000000000011</v>
      </c>
      <c r="Q130" s="3">
        <f t="shared" si="20"/>
        <v>15.100000000000001</v>
      </c>
      <c r="R130" s="3">
        <f t="shared" si="42"/>
        <v>13.500000000000011</v>
      </c>
      <c r="S130" s="3">
        <f t="shared" si="43"/>
        <v>15.100000000000001</v>
      </c>
    </row>
    <row r="131" spans="1:19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P131" s="3">
        <f t="shared" ref="P131:P153" si="44">R130</f>
        <v>13.500000000000011</v>
      </c>
      <c r="Q131" s="3">
        <f t="shared" ref="Q131:Q153" si="45">S130</f>
        <v>15.100000000000001</v>
      </c>
      <c r="R131" s="3">
        <f t="shared" si="42"/>
        <v>13.000000000000011</v>
      </c>
      <c r="S131" s="3">
        <f t="shared" si="43"/>
        <v>15.100000000000001</v>
      </c>
    </row>
    <row r="132" spans="1:19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P132" s="3">
        <f t="shared" si="44"/>
        <v>13.000000000000011</v>
      </c>
      <c r="Q132" s="3">
        <f t="shared" si="45"/>
        <v>15.100000000000001</v>
      </c>
      <c r="R132" s="3">
        <f t="shared" si="42"/>
        <v>12.500000000000011</v>
      </c>
      <c r="S132" s="3">
        <f t="shared" si="43"/>
        <v>15.100000000000001</v>
      </c>
    </row>
    <row r="133" spans="1:19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P133" s="3">
        <f t="shared" si="44"/>
        <v>12.500000000000011</v>
      </c>
      <c r="Q133" s="3">
        <f t="shared" si="45"/>
        <v>15.100000000000001</v>
      </c>
      <c r="R133" s="3">
        <f t="shared" si="42"/>
        <v>12.000000000000011</v>
      </c>
      <c r="S133" s="3">
        <f t="shared" si="43"/>
        <v>15.100000000000001</v>
      </c>
    </row>
    <row r="134" spans="1:19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L134" s="3" t="s">
        <v>74</v>
      </c>
      <c r="P134" s="3">
        <f t="shared" si="44"/>
        <v>12.000000000000011</v>
      </c>
      <c r="Q134" s="3">
        <f t="shared" si="45"/>
        <v>15.100000000000001</v>
      </c>
      <c r="R134" s="3">
        <f t="shared" si="42"/>
        <v>11.500000000000011</v>
      </c>
      <c r="S134" s="3">
        <f t="shared" si="43"/>
        <v>15.100000000000001</v>
      </c>
    </row>
    <row r="135" spans="1:19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P135" s="3">
        <f t="shared" si="44"/>
        <v>11.500000000000011</v>
      </c>
      <c r="Q135" s="3">
        <f t="shared" si="45"/>
        <v>15.100000000000001</v>
      </c>
      <c r="R135" s="3">
        <f t="shared" si="42"/>
        <v>11.000000000000011</v>
      </c>
      <c r="S135" s="3">
        <f t="shared" si="43"/>
        <v>15.100000000000001</v>
      </c>
    </row>
    <row r="136" spans="1:19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L136" s="3" t="s">
        <v>74</v>
      </c>
      <c r="P136" s="3">
        <f t="shared" si="44"/>
        <v>11.000000000000011</v>
      </c>
      <c r="Q136" s="3">
        <f t="shared" si="45"/>
        <v>15.100000000000001</v>
      </c>
      <c r="R136" s="3">
        <f t="shared" si="42"/>
        <v>10.500000000000011</v>
      </c>
      <c r="S136" s="3">
        <f t="shared" si="43"/>
        <v>15.100000000000001</v>
      </c>
    </row>
    <row r="137" spans="1:19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P137" s="3">
        <f t="shared" si="44"/>
        <v>10.500000000000011</v>
      </c>
      <c r="Q137" s="3">
        <f t="shared" si="45"/>
        <v>15.100000000000001</v>
      </c>
      <c r="R137" s="3">
        <f t="shared" si="42"/>
        <v>10.000000000000011</v>
      </c>
      <c r="S137" s="3">
        <f t="shared" si="43"/>
        <v>15.100000000000001</v>
      </c>
    </row>
    <row r="138" spans="1:19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P138" s="3">
        <f t="shared" si="44"/>
        <v>10.000000000000011</v>
      </c>
      <c r="Q138" s="3">
        <f t="shared" si="45"/>
        <v>15.100000000000001</v>
      </c>
      <c r="R138" s="3">
        <f t="shared" si="42"/>
        <v>9.5000000000000107</v>
      </c>
      <c r="S138" s="3">
        <f t="shared" si="43"/>
        <v>15.100000000000001</v>
      </c>
    </row>
    <row r="139" spans="1:19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P139" s="3">
        <f t="shared" si="44"/>
        <v>9.5000000000000107</v>
      </c>
      <c r="Q139" s="3">
        <f t="shared" si="45"/>
        <v>15.100000000000001</v>
      </c>
      <c r="R139" s="3">
        <f t="shared" si="42"/>
        <v>9.0000000000000107</v>
      </c>
      <c r="S139" s="3">
        <f t="shared" si="43"/>
        <v>15.100000000000001</v>
      </c>
    </row>
    <row r="140" spans="1:19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P140" s="3">
        <f t="shared" si="44"/>
        <v>9.0000000000000107</v>
      </c>
      <c r="Q140" s="3">
        <f t="shared" si="45"/>
        <v>15.100000000000001</v>
      </c>
      <c r="R140" s="3">
        <f t="shared" si="42"/>
        <v>8.5000000000000107</v>
      </c>
      <c r="S140" s="3">
        <f t="shared" si="43"/>
        <v>15.100000000000001</v>
      </c>
    </row>
    <row r="141" spans="1:19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P141" s="3">
        <f t="shared" si="44"/>
        <v>8.5000000000000107</v>
      </c>
      <c r="Q141" s="3">
        <f t="shared" si="45"/>
        <v>15.100000000000001</v>
      </c>
      <c r="R141" s="3">
        <f t="shared" si="42"/>
        <v>8.0000000000000107</v>
      </c>
      <c r="S141" s="3">
        <f t="shared" si="43"/>
        <v>15.100000000000001</v>
      </c>
    </row>
    <row r="142" spans="1:19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P142" s="3">
        <f t="shared" si="44"/>
        <v>8.0000000000000107</v>
      </c>
      <c r="Q142" s="3">
        <f t="shared" si="45"/>
        <v>15.100000000000001</v>
      </c>
      <c r="R142" s="3">
        <f t="shared" si="42"/>
        <v>7.5000000000000107</v>
      </c>
      <c r="S142" s="3">
        <f t="shared" si="43"/>
        <v>15.100000000000001</v>
      </c>
    </row>
    <row r="143" spans="1:19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L143" s="3" t="s">
        <v>65</v>
      </c>
      <c r="P143" s="3">
        <f t="shared" si="44"/>
        <v>7.5000000000000107</v>
      </c>
      <c r="Q143" s="3">
        <f t="shared" si="45"/>
        <v>15.100000000000001</v>
      </c>
      <c r="R143" s="3">
        <f t="shared" si="42"/>
        <v>7.0000000000000107</v>
      </c>
      <c r="S143" s="3">
        <f t="shared" si="43"/>
        <v>15.100000000000001</v>
      </c>
    </row>
    <row r="144" spans="1:19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P144" s="3">
        <f t="shared" si="44"/>
        <v>7.0000000000000107</v>
      </c>
      <c r="Q144" s="3">
        <f t="shared" si="45"/>
        <v>15.100000000000001</v>
      </c>
      <c r="R144" s="3">
        <f t="shared" si="42"/>
        <v>6.5000000000000107</v>
      </c>
      <c r="S144" s="3">
        <f t="shared" si="43"/>
        <v>15.100000000000001</v>
      </c>
    </row>
    <row r="145" spans="1:19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L145" s="3" t="s">
        <v>65</v>
      </c>
      <c r="P145" s="3">
        <f t="shared" si="44"/>
        <v>6.5000000000000107</v>
      </c>
      <c r="Q145" s="3">
        <f t="shared" si="45"/>
        <v>15.100000000000001</v>
      </c>
      <c r="R145" s="3">
        <f t="shared" si="42"/>
        <v>6.0000000000000107</v>
      </c>
      <c r="S145" s="3">
        <f t="shared" si="43"/>
        <v>15.100000000000001</v>
      </c>
    </row>
    <row r="146" spans="1:19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P146" s="3">
        <f t="shared" si="44"/>
        <v>6.0000000000000107</v>
      </c>
      <c r="Q146" s="3">
        <f t="shared" si="45"/>
        <v>15.100000000000001</v>
      </c>
      <c r="R146" s="3">
        <f t="shared" si="42"/>
        <v>5.5000000000000107</v>
      </c>
      <c r="S146" s="3">
        <f t="shared" si="43"/>
        <v>15.100000000000001</v>
      </c>
    </row>
    <row r="147" spans="1:19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P147" s="3">
        <f t="shared" si="44"/>
        <v>5.5000000000000107</v>
      </c>
      <c r="Q147" s="3">
        <f t="shared" si="45"/>
        <v>15.100000000000001</v>
      </c>
      <c r="R147" s="3">
        <f>R146-0.8</f>
        <v>4.7000000000000108</v>
      </c>
      <c r="S147" s="3">
        <f>S146-0.7</f>
        <v>14.400000000000002</v>
      </c>
    </row>
    <row r="148" spans="1:19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P148" s="3">
        <f t="shared" si="44"/>
        <v>4.7000000000000108</v>
      </c>
      <c r="Q148" s="3">
        <f t="shared" si="45"/>
        <v>14.400000000000002</v>
      </c>
      <c r="R148" s="3">
        <f t="shared" ref="R148:R149" si="46">R147-0.8</f>
        <v>3.900000000000011</v>
      </c>
      <c r="S148" s="3">
        <f t="shared" ref="S148:S149" si="47">S147-0.7</f>
        <v>13.700000000000003</v>
      </c>
    </row>
    <row r="149" spans="1:19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P149" s="3">
        <f t="shared" si="44"/>
        <v>3.900000000000011</v>
      </c>
      <c r="Q149" s="3">
        <f t="shared" si="45"/>
        <v>13.700000000000003</v>
      </c>
      <c r="R149" s="3">
        <f t="shared" si="46"/>
        <v>3.1000000000000112</v>
      </c>
      <c r="S149" s="3">
        <f t="shared" si="47"/>
        <v>13.000000000000004</v>
      </c>
    </row>
    <row r="150" spans="1:19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P150" s="3">
        <f t="shared" si="44"/>
        <v>3.1000000000000112</v>
      </c>
      <c r="Q150" s="3">
        <f t="shared" si="45"/>
        <v>13.000000000000004</v>
      </c>
      <c r="R150" s="3">
        <f>R149</f>
        <v>3.1000000000000112</v>
      </c>
      <c r="S150" s="3">
        <f>S149-0.8</f>
        <v>12.200000000000003</v>
      </c>
    </row>
    <row r="151" spans="1:19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P151" s="3">
        <f t="shared" si="44"/>
        <v>3.1000000000000112</v>
      </c>
      <c r="Q151" s="3">
        <f t="shared" si="45"/>
        <v>12.200000000000003</v>
      </c>
      <c r="R151" s="3">
        <f t="shared" ref="R151:R152" si="48">R150</f>
        <v>3.1000000000000112</v>
      </c>
      <c r="S151" s="3">
        <f t="shared" ref="S151:S152" si="49">S150-0.8</f>
        <v>11.400000000000002</v>
      </c>
    </row>
    <row r="152" spans="1:19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P152" s="3">
        <f t="shared" si="44"/>
        <v>3.1000000000000112</v>
      </c>
      <c r="Q152" s="3">
        <f t="shared" si="45"/>
        <v>11.400000000000002</v>
      </c>
      <c r="R152" s="3">
        <f t="shared" si="48"/>
        <v>3.1000000000000112</v>
      </c>
      <c r="S152" s="3">
        <f t="shared" si="49"/>
        <v>10.600000000000001</v>
      </c>
    </row>
    <row r="153" spans="1:19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P153" s="3">
        <f t="shared" si="44"/>
        <v>3.1000000000000112</v>
      </c>
      <c r="Q153" s="3">
        <f t="shared" si="45"/>
        <v>10.600000000000001</v>
      </c>
      <c r="R153" s="3">
        <v>4.5</v>
      </c>
      <c r="S153" s="3">
        <v>8.8000000000000007</v>
      </c>
    </row>
    <row r="155" spans="1:19" x14ac:dyDescent="0.25">
      <c r="H155"/>
    </row>
    <row r="156" spans="1:19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2024-12-09T22:57:31Z</dcterms:modified>
</cp:coreProperties>
</file>