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dgs44_pitt_edu/Documents/Trains/TrackModel/"/>
    </mc:Choice>
  </mc:AlternateContent>
  <xr:revisionPtr revIDLastSave="680" documentId="8_{D0660D75-C052-4898-8402-12AA78E71664}" xr6:coauthVersionLast="47" xr6:coauthVersionMax="47" xr10:uidLastSave="{B6B8BD8C-0824-4FB3-96FB-EC0CF953EC59}"/>
  <bookViews>
    <workbookView xWindow="14295" yWindow="0" windowWidth="14610" windowHeight="15585" xr2:uid="{C71A2FFE-490E-4D57-BAA4-DE7AC575C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8" i="1" l="1"/>
  <c r="Q109" i="1" s="1"/>
  <c r="R108" i="1"/>
  <c r="P109" i="1" s="1"/>
  <c r="P105" i="1"/>
  <c r="Q105" i="1"/>
  <c r="P106" i="1"/>
  <c r="Q106" i="1"/>
  <c r="P107" i="1"/>
  <c r="Q107" i="1"/>
  <c r="P108" i="1"/>
  <c r="Q108" i="1"/>
  <c r="Q24" i="1"/>
  <c r="Q25" i="1" s="1"/>
  <c r="Q26" i="1" s="1"/>
  <c r="Q27" i="1" s="1"/>
  <c r="Q28" i="1" s="1"/>
  <c r="P24" i="1"/>
  <c r="P25" i="1" s="1"/>
  <c r="P26" i="1" s="1"/>
  <c r="P27" i="1" s="1"/>
  <c r="P28" i="1" s="1"/>
  <c r="P29" i="1" s="1"/>
  <c r="P30" i="1" s="1"/>
  <c r="P31" i="1" s="1"/>
  <c r="R32" i="1" s="1"/>
  <c r="R33" i="1" s="1"/>
  <c r="R34" i="1" s="1"/>
  <c r="R35" i="1" s="1"/>
  <c r="R12" i="1"/>
  <c r="S12" i="1"/>
  <c r="R13" i="1"/>
  <c r="S13" i="1"/>
  <c r="R14" i="1"/>
  <c r="S14" i="1"/>
  <c r="R15" i="1"/>
  <c r="S15" i="1"/>
  <c r="R16" i="1"/>
  <c r="S16" i="1"/>
  <c r="S7" i="1"/>
  <c r="R7" i="1"/>
  <c r="R8" i="1"/>
  <c r="S8" i="1"/>
  <c r="R9" i="1"/>
  <c r="S9" i="1"/>
  <c r="R10" i="1"/>
  <c r="S10" i="1"/>
  <c r="R11" i="1"/>
  <c r="S11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5" i="1"/>
  <c r="S5" i="1"/>
  <c r="R6" i="1"/>
  <c r="S6" i="1"/>
  <c r="S109" i="1" l="1"/>
  <c r="S110" i="1" s="1"/>
  <c r="S111" i="1" s="1"/>
  <c r="S112" i="1" s="1"/>
  <c r="S113" i="1" s="1"/>
  <c r="R109" i="1"/>
  <c r="R110" i="1" s="1"/>
  <c r="P111" i="1"/>
  <c r="R111" i="1"/>
  <c r="P110" i="1"/>
  <c r="S25" i="1"/>
  <c r="Q29" i="1"/>
  <c r="Q30" i="1" s="1"/>
  <c r="Q31" i="1" s="1"/>
  <c r="S32" i="1" s="1"/>
  <c r="S33" i="1" s="1"/>
  <c r="S34" i="1" s="1"/>
  <c r="S35" i="1" s="1"/>
  <c r="S36" i="1" s="1"/>
  <c r="S37" i="1" s="1"/>
  <c r="S38" i="1" s="1"/>
  <c r="R25" i="1"/>
  <c r="P36" i="1"/>
  <c r="R36" i="1"/>
  <c r="P35" i="1"/>
  <c r="P34" i="1"/>
  <c r="P33" i="1"/>
  <c r="S26" i="1"/>
  <c r="R26" i="1"/>
  <c r="S28" i="1"/>
  <c r="S27" i="1"/>
  <c r="R27" i="1"/>
  <c r="S114" i="1" l="1"/>
  <c r="Q114" i="1"/>
  <c r="Q110" i="1"/>
  <c r="P112" i="1"/>
  <c r="R112" i="1"/>
  <c r="Q33" i="1"/>
  <c r="Q35" i="1"/>
  <c r="Q36" i="1"/>
  <c r="Q37" i="1"/>
  <c r="Q34" i="1"/>
  <c r="Q38" i="1"/>
  <c r="R37" i="1"/>
  <c r="P37" i="1"/>
  <c r="Q39" i="1"/>
  <c r="S39" i="1"/>
  <c r="R28" i="1"/>
  <c r="S29" i="1"/>
  <c r="P113" i="1" l="1"/>
  <c r="R113" i="1"/>
  <c r="S115" i="1"/>
  <c r="Q115" i="1"/>
  <c r="Q111" i="1"/>
  <c r="Q40" i="1"/>
  <c r="S40" i="1"/>
  <c r="R38" i="1"/>
  <c r="P38" i="1"/>
  <c r="R29" i="1"/>
  <c r="S30" i="1"/>
  <c r="Q116" i="1" l="1"/>
  <c r="S116" i="1"/>
  <c r="R114" i="1"/>
  <c r="P114" i="1"/>
  <c r="Q112" i="1"/>
  <c r="Q113" i="1"/>
  <c r="Q41" i="1"/>
  <c r="S41" i="1"/>
  <c r="R39" i="1"/>
  <c r="P39" i="1"/>
  <c r="R30" i="1"/>
  <c r="S31" i="1"/>
  <c r="Q32" i="1"/>
  <c r="Q117" i="1" l="1"/>
  <c r="S117" i="1"/>
  <c r="R115" i="1"/>
  <c r="P115" i="1"/>
  <c r="R40" i="1"/>
  <c r="P40" i="1"/>
  <c r="S42" i="1"/>
  <c r="Q42" i="1"/>
  <c r="P32" i="1"/>
  <c r="R31" i="1"/>
  <c r="R116" i="1" l="1"/>
  <c r="P116" i="1"/>
  <c r="Q118" i="1"/>
  <c r="S118" i="1"/>
  <c r="S43" i="1"/>
  <c r="Q43" i="1"/>
  <c r="R41" i="1"/>
  <c r="P41" i="1"/>
  <c r="S119" i="1" l="1"/>
  <c r="Q119" i="1"/>
  <c r="R117" i="1"/>
  <c r="P117" i="1"/>
  <c r="P42" i="1"/>
  <c r="R42" i="1"/>
  <c r="S44" i="1"/>
  <c r="Q44" i="1"/>
  <c r="R118" i="1" l="1"/>
  <c r="P118" i="1"/>
  <c r="Q120" i="1"/>
  <c r="S120" i="1"/>
  <c r="S45" i="1"/>
  <c r="Q45" i="1"/>
  <c r="R43" i="1"/>
  <c r="P43" i="1"/>
  <c r="Q121" i="1" l="1"/>
  <c r="S121" i="1"/>
  <c r="P119" i="1"/>
  <c r="R119" i="1"/>
  <c r="R44" i="1"/>
  <c r="P44" i="1"/>
  <c r="S46" i="1"/>
  <c r="Q46" i="1"/>
  <c r="P120" i="1" l="1"/>
  <c r="R120" i="1"/>
  <c r="S122" i="1"/>
  <c r="Q122" i="1"/>
  <c r="S47" i="1"/>
  <c r="Q47" i="1"/>
  <c r="R45" i="1"/>
  <c r="P45" i="1"/>
  <c r="S123" i="1" l="1"/>
  <c r="Q123" i="1"/>
  <c r="P121" i="1"/>
  <c r="R121" i="1"/>
  <c r="R46" i="1"/>
  <c r="P46" i="1"/>
  <c r="S48" i="1"/>
  <c r="Q48" i="1"/>
  <c r="P122" i="1" l="1"/>
  <c r="R122" i="1"/>
  <c r="Q124" i="1"/>
  <c r="S124" i="1"/>
  <c r="S49" i="1"/>
  <c r="Q49" i="1"/>
  <c r="R47" i="1"/>
  <c r="P47" i="1"/>
  <c r="Q125" i="1" l="1"/>
  <c r="S125" i="1"/>
  <c r="R123" i="1"/>
  <c r="P123" i="1"/>
  <c r="R48" i="1"/>
  <c r="P48" i="1"/>
  <c r="S50" i="1"/>
  <c r="Q50" i="1"/>
  <c r="R124" i="1" l="1"/>
  <c r="P124" i="1"/>
  <c r="Q126" i="1"/>
  <c r="S126" i="1"/>
  <c r="S51" i="1"/>
  <c r="Q51" i="1"/>
  <c r="R49" i="1"/>
  <c r="P49" i="1"/>
  <c r="Q127" i="1" l="1"/>
  <c r="S127" i="1"/>
  <c r="P125" i="1"/>
  <c r="R125" i="1"/>
  <c r="R50" i="1"/>
  <c r="P50" i="1"/>
  <c r="S52" i="1"/>
  <c r="Q52" i="1"/>
  <c r="R126" i="1" l="1"/>
  <c r="P126" i="1"/>
  <c r="Q128" i="1"/>
  <c r="S128" i="1"/>
  <c r="S53" i="1"/>
  <c r="Q53" i="1"/>
  <c r="R51" i="1"/>
  <c r="P51" i="1"/>
  <c r="S129" i="1" l="1"/>
  <c r="Q129" i="1"/>
  <c r="P127" i="1"/>
  <c r="R127" i="1"/>
  <c r="R52" i="1"/>
  <c r="P52" i="1"/>
  <c r="S54" i="1"/>
  <c r="Q54" i="1"/>
  <c r="R128" i="1" l="1"/>
  <c r="P128" i="1"/>
  <c r="Q130" i="1"/>
  <c r="S130" i="1"/>
  <c r="S55" i="1"/>
  <c r="Q55" i="1"/>
  <c r="R53" i="1"/>
  <c r="P53" i="1"/>
  <c r="Q131" i="1" l="1"/>
  <c r="S131" i="1"/>
  <c r="R129" i="1"/>
  <c r="P129" i="1"/>
  <c r="S56" i="1"/>
  <c r="Q56" i="1"/>
  <c r="R54" i="1"/>
  <c r="P54" i="1"/>
  <c r="S132" i="1" l="1"/>
  <c r="Q132" i="1"/>
  <c r="R130" i="1"/>
  <c r="P130" i="1"/>
  <c r="S57" i="1"/>
  <c r="Q57" i="1"/>
  <c r="R55" i="1"/>
  <c r="P55" i="1"/>
  <c r="R131" i="1" l="1"/>
  <c r="P131" i="1"/>
  <c r="S133" i="1"/>
  <c r="Q133" i="1"/>
  <c r="S58" i="1"/>
  <c r="Q58" i="1"/>
  <c r="R56" i="1"/>
  <c r="P56" i="1"/>
  <c r="S134" i="1" l="1"/>
  <c r="Q134" i="1"/>
  <c r="R132" i="1"/>
  <c r="P132" i="1"/>
  <c r="S59" i="1"/>
  <c r="Q59" i="1"/>
  <c r="R57" i="1"/>
  <c r="P57" i="1"/>
  <c r="P133" i="1" l="1"/>
  <c r="R133" i="1"/>
  <c r="S135" i="1"/>
  <c r="Q135" i="1"/>
  <c r="S60" i="1"/>
  <c r="Q60" i="1"/>
  <c r="R58" i="1"/>
  <c r="P58" i="1"/>
  <c r="Q136" i="1" l="1"/>
  <c r="S136" i="1"/>
  <c r="R134" i="1"/>
  <c r="P134" i="1"/>
  <c r="S61" i="1"/>
  <c r="Q61" i="1"/>
  <c r="R59" i="1"/>
  <c r="P59" i="1"/>
  <c r="P135" i="1" l="1"/>
  <c r="R135" i="1"/>
  <c r="Q137" i="1"/>
  <c r="S137" i="1"/>
  <c r="Q62" i="1"/>
  <c r="S62" i="1"/>
  <c r="R60" i="1"/>
  <c r="R61" i="1" s="1"/>
  <c r="R62" i="1" s="1"/>
  <c r="R63" i="1" s="1"/>
  <c r="R64" i="1" s="1"/>
  <c r="R65" i="1" s="1"/>
  <c r="R66" i="1" s="1"/>
  <c r="P60" i="1"/>
  <c r="P136" i="1" l="1"/>
  <c r="R136" i="1"/>
  <c r="Q138" i="1"/>
  <c r="S138" i="1"/>
  <c r="R67" i="1"/>
  <c r="P67" i="1"/>
  <c r="S63" i="1"/>
  <c r="Q63" i="1"/>
  <c r="P62" i="1"/>
  <c r="P64" i="1" s="1"/>
  <c r="P66" i="1" s="1"/>
  <c r="P61" i="1"/>
  <c r="P63" i="1" s="1"/>
  <c r="P65" i="1" s="1"/>
  <c r="Q139" i="1" l="1"/>
  <c r="S139" i="1"/>
  <c r="P137" i="1"/>
  <c r="R137" i="1"/>
  <c r="P68" i="1"/>
  <c r="R68" i="1"/>
  <c r="S64" i="1"/>
  <c r="Q64" i="1"/>
  <c r="S140" i="1" l="1"/>
  <c r="Q140" i="1"/>
  <c r="R138" i="1"/>
  <c r="P138" i="1"/>
  <c r="R69" i="1"/>
  <c r="P69" i="1"/>
  <c r="S65" i="1"/>
  <c r="Q65" i="1"/>
  <c r="R139" i="1" l="1"/>
  <c r="P139" i="1"/>
  <c r="Q141" i="1"/>
  <c r="S141" i="1"/>
  <c r="R70" i="1"/>
  <c r="P70" i="1"/>
  <c r="Q66" i="1"/>
  <c r="S68" i="1"/>
  <c r="S66" i="1"/>
  <c r="Q142" i="1" l="1"/>
  <c r="S142" i="1"/>
  <c r="R140" i="1"/>
  <c r="P140" i="1"/>
  <c r="R71" i="1"/>
  <c r="P71" i="1"/>
  <c r="Q67" i="1"/>
  <c r="S67" i="1"/>
  <c r="Q68" i="1" s="1"/>
  <c r="S71" i="1"/>
  <c r="Q69" i="1"/>
  <c r="S69" i="1"/>
  <c r="R141" i="1" l="1"/>
  <c r="P141" i="1"/>
  <c r="Q143" i="1"/>
  <c r="S143" i="1"/>
  <c r="P72" i="1"/>
  <c r="R72" i="1"/>
  <c r="S70" i="1"/>
  <c r="Q71" i="1" s="1"/>
  <c r="Q70" i="1"/>
  <c r="Q72" i="1"/>
  <c r="S72" i="1"/>
  <c r="S144" i="1" l="1"/>
  <c r="Q144" i="1"/>
  <c r="R142" i="1"/>
  <c r="P142" i="1"/>
  <c r="Q73" i="1"/>
  <c r="S73" i="1"/>
  <c r="P73" i="1"/>
  <c r="R73" i="1"/>
  <c r="P143" i="1" l="1"/>
  <c r="R143" i="1"/>
  <c r="Q145" i="1"/>
  <c r="S145" i="1"/>
  <c r="R74" i="1"/>
  <c r="P74" i="1"/>
  <c r="S74" i="1"/>
  <c r="Q74" i="1"/>
  <c r="Q146" i="1" l="1"/>
  <c r="S146" i="1"/>
  <c r="P144" i="1"/>
  <c r="R144" i="1"/>
  <c r="P75" i="1"/>
  <c r="R75" i="1"/>
  <c r="Q75" i="1"/>
  <c r="S75" i="1"/>
  <c r="P145" i="1" l="1"/>
  <c r="R145" i="1"/>
  <c r="Q147" i="1"/>
  <c r="S147" i="1"/>
  <c r="S76" i="1"/>
  <c r="Q76" i="1"/>
  <c r="R76" i="1"/>
  <c r="P76" i="1"/>
  <c r="P146" i="1" l="1"/>
  <c r="R146" i="1"/>
  <c r="Q148" i="1"/>
  <c r="S148" i="1"/>
  <c r="Q77" i="1"/>
  <c r="S77" i="1"/>
  <c r="P77" i="1"/>
  <c r="R77" i="1"/>
  <c r="Q149" i="1" l="1"/>
  <c r="S149" i="1"/>
  <c r="P147" i="1"/>
  <c r="R147" i="1"/>
  <c r="R78" i="1"/>
  <c r="P78" i="1"/>
  <c r="Q78" i="1"/>
  <c r="S78" i="1"/>
  <c r="R148" i="1" l="1"/>
  <c r="P148" i="1"/>
  <c r="S150" i="1"/>
  <c r="Q150" i="1"/>
  <c r="S79" i="1"/>
  <c r="Q79" i="1"/>
  <c r="R79" i="1"/>
  <c r="P79" i="1"/>
  <c r="S151" i="1" l="1"/>
  <c r="Q151" i="1"/>
  <c r="R149" i="1"/>
  <c r="P149" i="1"/>
  <c r="R80" i="1"/>
  <c r="P80" i="1"/>
  <c r="Q80" i="1"/>
  <c r="S80" i="1"/>
  <c r="P150" i="1" l="1"/>
  <c r="R150" i="1"/>
  <c r="Q152" i="1"/>
  <c r="S152" i="1"/>
  <c r="Q153" i="1" s="1"/>
  <c r="S81" i="1"/>
  <c r="Q81" i="1"/>
  <c r="P81" i="1"/>
  <c r="R81" i="1"/>
  <c r="R151" i="1" l="1"/>
  <c r="P151" i="1"/>
  <c r="R82" i="1"/>
  <c r="P82" i="1"/>
  <c r="Q82" i="1"/>
  <c r="S82" i="1"/>
  <c r="P152" i="1" l="1"/>
  <c r="R152" i="1"/>
  <c r="P153" i="1" s="1"/>
  <c r="R83" i="1"/>
  <c r="P83" i="1"/>
  <c r="S83" i="1"/>
  <c r="Q83" i="1"/>
  <c r="S84" i="1" l="1"/>
  <c r="Q84" i="1"/>
  <c r="R84" i="1"/>
  <c r="P84" i="1"/>
  <c r="R85" i="1" l="1"/>
  <c r="P85" i="1"/>
  <c r="Q85" i="1"/>
  <c r="S85" i="1"/>
  <c r="S86" i="1" l="1"/>
  <c r="Q86" i="1"/>
  <c r="R86" i="1"/>
  <c r="P86" i="1"/>
  <c r="R87" i="1" l="1"/>
  <c r="P87" i="1"/>
  <c r="S87" i="1"/>
  <c r="Q87" i="1"/>
  <c r="R88" i="1" l="1"/>
  <c r="R89" i="1" s="1"/>
  <c r="R90" i="1" s="1"/>
  <c r="R91" i="1" s="1"/>
  <c r="R92" i="1" s="1"/>
  <c r="P88" i="1"/>
  <c r="S88" i="1"/>
  <c r="Q88" i="1"/>
  <c r="R93" i="1" l="1"/>
  <c r="P93" i="1"/>
  <c r="S89" i="1"/>
  <c r="Q89" i="1"/>
  <c r="P89" i="1"/>
  <c r="P94" i="1" l="1"/>
  <c r="R94" i="1"/>
  <c r="P90" i="1"/>
  <c r="Q90" i="1"/>
  <c r="S90" i="1"/>
  <c r="P95" i="1" l="1"/>
  <c r="R95" i="1"/>
  <c r="P92" i="1"/>
  <c r="P91" i="1"/>
  <c r="S91" i="1"/>
  <c r="Q91" i="1"/>
  <c r="Q92" i="1" l="1"/>
  <c r="S92" i="1"/>
  <c r="P96" i="1"/>
  <c r="R96" i="1"/>
  <c r="S93" i="1" l="1"/>
  <c r="Q93" i="1"/>
  <c r="R97" i="1"/>
  <c r="P97" i="1"/>
  <c r="R98" i="1" l="1"/>
  <c r="P98" i="1"/>
  <c r="S94" i="1"/>
  <c r="Q94" i="1"/>
  <c r="S95" i="1" l="1"/>
  <c r="Q95" i="1"/>
  <c r="P99" i="1"/>
  <c r="R99" i="1"/>
  <c r="S96" i="1" l="1"/>
  <c r="Q96" i="1"/>
  <c r="R100" i="1"/>
  <c r="P100" i="1"/>
  <c r="P101" i="1" l="1"/>
  <c r="R101" i="1"/>
  <c r="S97" i="1"/>
  <c r="Q97" i="1"/>
  <c r="P102" i="1" l="1"/>
  <c r="R102" i="1"/>
  <c r="Q98" i="1"/>
  <c r="S98" i="1"/>
  <c r="Q99" i="1" l="1"/>
  <c r="S99" i="1"/>
  <c r="P103" i="1"/>
  <c r="R103" i="1"/>
  <c r="Q100" i="1" l="1"/>
  <c r="S100" i="1"/>
  <c r="Q101" i="1" l="1"/>
  <c r="S101" i="1"/>
  <c r="Q102" i="1" l="1"/>
  <c r="S102" i="1"/>
  <c r="Q103" i="1" l="1"/>
  <c r="S103" i="1"/>
</calcChain>
</file>

<file path=xl/sharedStrings.xml><?xml version="1.0" encoding="utf-8"?>
<sst xmlns="http://schemas.openxmlformats.org/spreadsheetml/2006/main" count="470" uniqueCount="76">
  <si>
    <t>A</t>
  </si>
  <si>
    <t>B</t>
  </si>
  <si>
    <t>C</t>
  </si>
  <si>
    <t>X</t>
  </si>
  <si>
    <t>Line</t>
  </si>
  <si>
    <t>Section</t>
  </si>
  <si>
    <t>Block</t>
  </si>
  <si>
    <t>Length</t>
  </si>
  <si>
    <t>Grade</t>
  </si>
  <si>
    <t>Speed</t>
  </si>
  <si>
    <t>Cross</t>
  </si>
  <si>
    <t>Transponder</t>
  </si>
  <si>
    <t>Station</t>
  </si>
  <si>
    <t>Elevation</t>
  </si>
  <si>
    <t>Switch 1</t>
  </si>
  <si>
    <t>Switch 2</t>
  </si>
  <si>
    <t>Under</t>
  </si>
  <si>
    <t>LR</t>
  </si>
  <si>
    <t>Side</t>
  </si>
  <si>
    <t>2-Way</t>
  </si>
  <si>
    <t>Green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</si>
  <si>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</si>
  <si>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</si>
  <si>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</si>
  <si>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</si>
  <si>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</si>
  <si>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</si>
  <si>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</si>
  <si>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</si>
  <si>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</si>
  <si>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</si>
  <si>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</si>
  <si>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</si>
  <si>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</si>
  <si>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</si>
  <si>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</si>
  <si>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</si>
  <si>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</si>
  <si>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</si>
  <si>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</si>
  <si>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</si>
  <si>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</si>
  <si>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</si>
  <si>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Pioneer</t>
  </si>
  <si>
    <t>Edgebrook</t>
  </si>
  <si>
    <t>Whited</t>
  </si>
  <si>
    <t>South Bank</t>
  </si>
  <si>
    <t>Central</t>
  </si>
  <si>
    <t>Inglewood</t>
  </si>
  <si>
    <t>Overbrook</t>
  </si>
  <si>
    <t>Glenbury</t>
  </si>
  <si>
    <t>Dormont</t>
  </si>
  <si>
    <t>Mt Lebanon</t>
  </si>
  <si>
    <t>Poplar</t>
  </si>
  <si>
    <t>Castle Shannon</t>
  </si>
  <si>
    <t>start X</t>
  </si>
  <si>
    <t>start Y</t>
  </si>
  <si>
    <t>end X</t>
  </si>
  <si>
    <t>end Y</t>
  </si>
  <si>
    <t>Yard</t>
  </si>
  <si>
    <t>LXPioneer</t>
  </si>
  <si>
    <t>LXEdgebrook</t>
  </si>
  <si>
    <t>LRStation</t>
  </si>
  <si>
    <t>LRWhited</t>
  </si>
  <si>
    <t>LXSouth Bank</t>
  </si>
  <si>
    <t>XRCentral</t>
  </si>
  <si>
    <t>XRInglewood</t>
  </si>
  <si>
    <t>XROverbook</t>
  </si>
  <si>
    <t>XRDormont</t>
  </si>
  <si>
    <t>LRMt Lebanon</t>
  </si>
  <si>
    <t>LXPoplar</t>
  </si>
  <si>
    <t>LXCastle Shannon</t>
  </si>
  <si>
    <t>XRGlenbury</t>
  </si>
  <si>
    <t>XROverbrook</t>
  </si>
  <si>
    <t>LXInglewood</t>
  </si>
  <si>
    <t>2425262728292A2B2C2D2E2F303132333435363738397A7B7C7D7E7F808182838485868788898A8B8C8D8E8F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</si>
</sst>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0075-78CA-4D81-A78A-8327AF8C2968}">
  <dimension ref="A1:U156"/>
  <sheetViews>
    <sheetView tabSelected="1" workbookViewId="0">
      <pane xSplit="3270" ySplit="900" topLeftCell="H1" activePane="bottomRight"/>
      <selection activeCell="I7" sqref="I7"/>
      <selection pane="topRight" activeCell="T1" sqref="T1:U1048576"/>
      <selection pane="bottomLeft" activeCell="A21" sqref="A21"/>
      <selection pane="bottomRight" activeCell="K9" sqref="K9"/>
    </sheetView>
  </sheetViews>
  <sheetFormatPr defaultRowHeight="15" x14ac:dyDescent="0.25"/>
  <cols>
    <col min="1" max="11" width="9.140625" style="3"/>
    <col min="12" max="12" width="13" style="3" customWidth="1"/>
    <col min="13" max="13" width="17.28515625" style="3" customWidth="1"/>
    <col min="14" max="15" width="9.140625" style="3" customWidth="1"/>
    <col min="16" max="16384" width="9.140625" style="3"/>
  </cols>
  <sheetData>
    <row r="1" spans="1:2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</row>
    <row r="2" spans="1:21" s="1" customForma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19</v>
      </c>
      <c r="H2" s="1" t="s">
        <v>13</v>
      </c>
      <c r="I2" s="1" t="s">
        <v>16</v>
      </c>
      <c r="J2" s="1" t="s">
        <v>14</v>
      </c>
      <c r="K2" s="1" t="s">
        <v>15</v>
      </c>
      <c r="L2" s="1" t="s">
        <v>11</v>
      </c>
      <c r="M2" s="1" t="s">
        <v>12</v>
      </c>
      <c r="N2" s="1" t="s">
        <v>18</v>
      </c>
      <c r="O2" s="1" t="s">
        <v>10</v>
      </c>
      <c r="P2" s="1" t="s">
        <v>55</v>
      </c>
      <c r="Q2" s="1" t="s">
        <v>56</v>
      </c>
      <c r="R2" s="1" t="s">
        <v>57</v>
      </c>
      <c r="S2" s="1" t="s">
        <v>58</v>
      </c>
    </row>
    <row r="3" spans="1:21" s="1" customFormat="1" ht="15.75" x14ac:dyDescent="0.25">
      <c r="A3" s="2" t="s">
        <v>20</v>
      </c>
      <c r="B3" s="2" t="s">
        <v>59</v>
      </c>
      <c r="C3" s="4">
        <v>0</v>
      </c>
      <c r="D3" s="2">
        <v>0</v>
      </c>
      <c r="E3" s="2">
        <v>0</v>
      </c>
      <c r="F3" s="2">
        <v>0</v>
      </c>
      <c r="G3" s="2"/>
      <c r="H3" s="2">
        <v>0</v>
      </c>
      <c r="I3" s="3"/>
      <c r="J3" s="3"/>
      <c r="K3" s="3"/>
      <c r="L3" t="s">
        <v>75</v>
      </c>
      <c r="M3" s="3" t="s">
        <v>59</v>
      </c>
      <c r="N3" s="3"/>
      <c r="O3" s="3"/>
      <c r="P3" s="3">
        <v>22</v>
      </c>
      <c r="Q3" s="3">
        <v>11</v>
      </c>
      <c r="R3" s="3">
        <v>22</v>
      </c>
      <c r="S3" s="3">
        <v>11</v>
      </c>
      <c r="T3" s="3"/>
      <c r="U3" s="3"/>
    </row>
    <row r="4" spans="1:21" ht="15.75" x14ac:dyDescent="0.25">
      <c r="A4" s="2" t="s">
        <v>20</v>
      </c>
      <c r="B4" s="2" t="s">
        <v>0</v>
      </c>
      <c r="C4" s="4">
        <v>1</v>
      </c>
      <c r="D4" s="2">
        <v>100</v>
      </c>
      <c r="E4" s="2">
        <v>0.5</v>
      </c>
      <c r="F4" s="2">
        <v>45</v>
      </c>
      <c r="G4" s="2"/>
      <c r="H4" s="2">
        <v>0.5</v>
      </c>
      <c r="P4" s="3">
        <v>11.7</v>
      </c>
      <c r="Q4" s="3">
        <v>1.6</v>
      </c>
      <c r="R4" s="3">
        <v>11</v>
      </c>
      <c r="S4" s="3">
        <v>1</v>
      </c>
    </row>
    <row r="5" spans="1:21" ht="15.75" x14ac:dyDescent="0.25">
      <c r="A5" s="2" t="s">
        <v>20</v>
      </c>
      <c r="B5" s="2" t="s">
        <v>0</v>
      </c>
      <c r="C5" s="2">
        <v>2</v>
      </c>
      <c r="D5" s="2">
        <v>100</v>
      </c>
      <c r="E5" s="2">
        <v>1</v>
      </c>
      <c r="F5" s="2">
        <v>45</v>
      </c>
      <c r="G5" s="2"/>
      <c r="H5" s="2">
        <v>1.5</v>
      </c>
      <c r="L5" s="3" t="s">
        <v>60</v>
      </c>
      <c r="P5" s="3">
        <v>12.3</v>
      </c>
      <c r="Q5" s="3">
        <v>2.2999999999999998</v>
      </c>
      <c r="R5" s="3">
        <f t="shared" ref="R5:S10" si="0">P4</f>
        <v>11.7</v>
      </c>
      <c r="S5" s="3">
        <f t="shared" si="0"/>
        <v>1.6</v>
      </c>
    </row>
    <row r="6" spans="1:21" ht="15.75" x14ac:dyDescent="0.25">
      <c r="A6" s="2" t="s">
        <v>20</v>
      </c>
      <c r="B6" s="2" t="s">
        <v>0</v>
      </c>
      <c r="C6" s="2">
        <v>3</v>
      </c>
      <c r="D6" s="2">
        <v>100</v>
      </c>
      <c r="E6" s="2">
        <v>1.5</v>
      </c>
      <c r="F6" s="2">
        <v>45</v>
      </c>
      <c r="G6" s="2"/>
      <c r="H6" s="2">
        <v>3</v>
      </c>
      <c r="M6" s="3" t="s">
        <v>43</v>
      </c>
      <c r="N6" s="3" t="s">
        <v>29</v>
      </c>
      <c r="P6" s="3">
        <v>13</v>
      </c>
      <c r="Q6" s="3">
        <v>3</v>
      </c>
      <c r="R6" s="3">
        <f t="shared" si="0"/>
        <v>12.3</v>
      </c>
      <c r="S6" s="3">
        <f t="shared" si="0"/>
        <v>2.2999999999999998</v>
      </c>
    </row>
    <row r="7" spans="1:21" ht="15.75" x14ac:dyDescent="0.25">
      <c r="A7" s="2" t="s">
        <v>20</v>
      </c>
      <c r="B7" s="2" t="s">
        <v>1</v>
      </c>
      <c r="C7" s="4">
        <v>4</v>
      </c>
      <c r="D7" s="2">
        <v>100</v>
      </c>
      <c r="E7" s="2">
        <v>2</v>
      </c>
      <c r="F7" s="2">
        <v>45</v>
      </c>
      <c r="G7" s="2"/>
      <c r="H7" s="2">
        <v>5</v>
      </c>
      <c r="L7" s="3" t="s">
        <v>60</v>
      </c>
      <c r="P7" s="3">
        <v>14</v>
      </c>
      <c r="Q7" s="3">
        <v>3.5</v>
      </c>
      <c r="R7" s="3">
        <f t="shared" si="0"/>
        <v>13</v>
      </c>
      <c r="S7" s="3">
        <f t="shared" si="0"/>
        <v>3</v>
      </c>
    </row>
    <row r="8" spans="1:21" ht="15.75" x14ac:dyDescent="0.25">
      <c r="A8" s="2" t="s">
        <v>20</v>
      </c>
      <c r="B8" s="2" t="s">
        <v>1</v>
      </c>
      <c r="C8" s="2">
        <v>5</v>
      </c>
      <c r="D8" s="2">
        <v>100</v>
      </c>
      <c r="E8" s="2">
        <v>3</v>
      </c>
      <c r="F8" s="2">
        <v>45</v>
      </c>
      <c r="G8" s="2"/>
      <c r="H8" s="2">
        <v>8</v>
      </c>
      <c r="J8" s="2"/>
      <c r="K8" s="2"/>
      <c r="P8" s="3">
        <v>15</v>
      </c>
      <c r="Q8" s="3">
        <v>4</v>
      </c>
      <c r="R8" s="3">
        <f t="shared" si="0"/>
        <v>14</v>
      </c>
      <c r="S8" s="3">
        <f t="shared" si="0"/>
        <v>3.5</v>
      </c>
    </row>
    <row r="9" spans="1:21" ht="15.75" x14ac:dyDescent="0.25">
      <c r="A9" s="2" t="s">
        <v>20</v>
      </c>
      <c r="B9" s="2" t="s">
        <v>1</v>
      </c>
      <c r="C9" s="2">
        <v>6</v>
      </c>
      <c r="D9" s="2">
        <v>100</v>
      </c>
      <c r="E9" s="2">
        <v>4</v>
      </c>
      <c r="F9" s="2">
        <v>45</v>
      </c>
      <c r="G9" s="2"/>
      <c r="H9" s="2">
        <v>12</v>
      </c>
      <c r="J9" s="2"/>
      <c r="K9" s="2"/>
      <c r="P9" s="3">
        <v>16</v>
      </c>
      <c r="Q9" s="3">
        <v>4.5</v>
      </c>
      <c r="R9" s="3">
        <f t="shared" si="0"/>
        <v>15</v>
      </c>
      <c r="S9" s="3">
        <f t="shared" si="0"/>
        <v>4</v>
      </c>
    </row>
    <row r="10" spans="1:21" ht="15.75" x14ac:dyDescent="0.25">
      <c r="A10" s="2" t="s">
        <v>20</v>
      </c>
      <c r="B10" s="2" t="s">
        <v>2</v>
      </c>
      <c r="C10" s="4">
        <v>7</v>
      </c>
      <c r="D10" s="2">
        <v>100</v>
      </c>
      <c r="E10" s="2">
        <v>5</v>
      </c>
      <c r="F10" s="2">
        <v>45</v>
      </c>
      <c r="G10" s="2"/>
      <c r="H10" s="2">
        <v>17</v>
      </c>
      <c r="P10" s="3">
        <v>18</v>
      </c>
      <c r="Q10" s="3">
        <v>4</v>
      </c>
      <c r="R10" s="3">
        <f t="shared" si="0"/>
        <v>16</v>
      </c>
      <c r="S10" s="3">
        <f t="shared" si="0"/>
        <v>4.5</v>
      </c>
    </row>
    <row r="11" spans="1:21" ht="15.75" x14ac:dyDescent="0.25">
      <c r="A11" s="2" t="s">
        <v>20</v>
      </c>
      <c r="B11" s="2" t="s">
        <v>2</v>
      </c>
      <c r="C11" s="2">
        <v>8</v>
      </c>
      <c r="D11" s="2">
        <v>100</v>
      </c>
      <c r="E11" s="2">
        <v>0</v>
      </c>
      <c r="F11" s="2">
        <v>45</v>
      </c>
      <c r="G11" s="2"/>
      <c r="H11" s="2">
        <v>17</v>
      </c>
      <c r="L11" s="3" t="s">
        <v>61</v>
      </c>
      <c r="P11" s="3">
        <v>18</v>
      </c>
      <c r="Q11" s="3">
        <v>2.5</v>
      </c>
      <c r="R11" s="3">
        <f t="shared" ref="R11:R31" si="1">P10</f>
        <v>18</v>
      </c>
      <c r="S11" s="3">
        <f t="shared" ref="S11:S31" si="2">Q10</f>
        <v>4</v>
      </c>
    </row>
    <row r="12" spans="1:21" ht="15.75" x14ac:dyDescent="0.25">
      <c r="A12" s="2" t="s">
        <v>20</v>
      </c>
      <c r="B12" s="2" t="s">
        <v>2</v>
      </c>
      <c r="C12" s="2">
        <v>9</v>
      </c>
      <c r="D12" s="2">
        <v>100</v>
      </c>
      <c r="E12" s="2">
        <v>-5</v>
      </c>
      <c r="F12" s="2">
        <v>45</v>
      </c>
      <c r="G12" s="2"/>
      <c r="H12" s="2">
        <v>12</v>
      </c>
      <c r="M12" s="3" t="s">
        <v>44</v>
      </c>
      <c r="N12" s="3" t="s">
        <v>29</v>
      </c>
      <c r="P12" s="3">
        <v>16.5</v>
      </c>
      <c r="Q12" s="3">
        <v>2</v>
      </c>
      <c r="R12" s="3">
        <f t="shared" ref="R12:R16" si="3">P11</f>
        <v>18</v>
      </c>
      <c r="S12" s="3">
        <f t="shared" ref="S12:S16" si="4">Q11</f>
        <v>2.5</v>
      </c>
    </row>
    <row r="13" spans="1:21" ht="15.75" x14ac:dyDescent="0.25">
      <c r="A13" s="2" t="s">
        <v>20</v>
      </c>
      <c r="B13" s="2" t="s">
        <v>2</v>
      </c>
      <c r="C13" s="4">
        <v>10</v>
      </c>
      <c r="D13" s="2">
        <v>100</v>
      </c>
      <c r="E13" s="2">
        <v>-4.5</v>
      </c>
      <c r="F13" s="2">
        <v>45</v>
      </c>
      <c r="G13" s="2"/>
      <c r="H13" s="2">
        <v>7.5</v>
      </c>
      <c r="L13" s="3" t="s">
        <v>61</v>
      </c>
      <c r="P13" s="3">
        <v>14.5</v>
      </c>
      <c r="Q13" s="3">
        <v>1.5</v>
      </c>
      <c r="R13" s="3">
        <f t="shared" si="3"/>
        <v>16.5</v>
      </c>
      <c r="S13" s="3">
        <f t="shared" si="4"/>
        <v>2</v>
      </c>
    </row>
    <row r="14" spans="1:21" ht="15.75" x14ac:dyDescent="0.25">
      <c r="A14" s="2" t="s">
        <v>20</v>
      </c>
      <c r="B14" s="2" t="s">
        <v>2</v>
      </c>
      <c r="C14" s="2">
        <v>11</v>
      </c>
      <c r="D14" s="2">
        <v>100</v>
      </c>
      <c r="E14" s="2">
        <v>-4</v>
      </c>
      <c r="F14" s="2">
        <v>45</v>
      </c>
      <c r="G14" s="2"/>
      <c r="H14" s="2">
        <v>3.5</v>
      </c>
      <c r="P14" s="3">
        <v>13</v>
      </c>
      <c r="Q14" s="3">
        <v>1</v>
      </c>
      <c r="R14" s="3">
        <f t="shared" si="3"/>
        <v>14.5</v>
      </c>
      <c r="S14" s="3">
        <f t="shared" si="4"/>
        <v>1.5</v>
      </c>
    </row>
    <row r="15" spans="1:21" ht="15.75" x14ac:dyDescent="0.25">
      <c r="A15" s="2" t="s">
        <v>20</v>
      </c>
      <c r="B15" s="2" t="s">
        <v>2</v>
      </c>
      <c r="C15" s="4">
        <v>12</v>
      </c>
      <c r="D15" s="2">
        <v>100</v>
      </c>
      <c r="E15" s="2">
        <v>-3</v>
      </c>
      <c r="F15" s="2">
        <v>45</v>
      </c>
      <c r="H15" s="2">
        <v>0.5</v>
      </c>
      <c r="P15" s="3">
        <v>11</v>
      </c>
      <c r="Q15" s="3">
        <v>1</v>
      </c>
      <c r="R15" s="3">
        <f t="shared" si="3"/>
        <v>13</v>
      </c>
      <c r="S15" s="3">
        <f t="shared" si="4"/>
        <v>1</v>
      </c>
    </row>
    <row r="16" spans="1:21" ht="15.75" x14ac:dyDescent="0.25">
      <c r="A16" s="2" t="s">
        <v>20</v>
      </c>
      <c r="B16" s="2" t="s">
        <v>21</v>
      </c>
      <c r="C16" s="2">
        <v>13</v>
      </c>
      <c r="D16" s="2">
        <v>150</v>
      </c>
      <c r="E16" s="2">
        <v>0</v>
      </c>
      <c r="F16" s="2">
        <v>70</v>
      </c>
      <c r="G16" s="2" t="s">
        <v>3</v>
      </c>
      <c r="H16" s="2">
        <v>0.5</v>
      </c>
      <c r="J16" s="3">
        <v>1</v>
      </c>
      <c r="K16" s="3">
        <v>12</v>
      </c>
      <c r="P16" s="3">
        <v>10</v>
      </c>
      <c r="Q16" s="3">
        <v>1</v>
      </c>
      <c r="R16" s="3">
        <f t="shared" si="3"/>
        <v>11</v>
      </c>
      <c r="S16" s="3">
        <f t="shared" si="4"/>
        <v>1</v>
      </c>
    </row>
    <row r="17" spans="1:19" ht="15.75" x14ac:dyDescent="0.25">
      <c r="A17" s="2" t="s">
        <v>20</v>
      </c>
      <c r="B17" s="2" t="s">
        <v>21</v>
      </c>
      <c r="C17" s="2">
        <v>14</v>
      </c>
      <c r="D17" s="2">
        <v>150</v>
      </c>
      <c r="E17" s="2">
        <v>0</v>
      </c>
      <c r="F17" s="2">
        <v>70</v>
      </c>
      <c r="G17" s="2" t="s">
        <v>3</v>
      </c>
      <c r="H17" s="2">
        <v>0.5</v>
      </c>
      <c r="P17" s="3">
        <v>9</v>
      </c>
      <c r="Q17" s="3">
        <v>1</v>
      </c>
      <c r="R17" s="3">
        <f t="shared" ref="R17:S19" si="5">P16</f>
        <v>10</v>
      </c>
      <c r="S17" s="3">
        <f t="shared" si="5"/>
        <v>1</v>
      </c>
    </row>
    <row r="18" spans="1:19" ht="15.75" x14ac:dyDescent="0.25">
      <c r="A18" s="2" t="s">
        <v>20</v>
      </c>
      <c r="B18" s="2" t="s">
        <v>21</v>
      </c>
      <c r="C18" s="4">
        <v>15</v>
      </c>
      <c r="D18" s="2">
        <v>150</v>
      </c>
      <c r="E18" s="2">
        <v>0</v>
      </c>
      <c r="F18" s="2">
        <v>70</v>
      </c>
      <c r="G18" s="2" t="s">
        <v>3</v>
      </c>
      <c r="H18" s="2">
        <v>0.5</v>
      </c>
      <c r="L18" s="3" t="s">
        <v>62</v>
      </c>
      <c r="P18" s="3">
        <v>8</v>
      </c>
      <c r="Q18" s="3">
        <v>1</v>
      </c>
      <c r="R18" s="3">
        <f t="shared" si="5"/>
        <v>9</v>
      </c>
      <c r="S18" s="3">
        <f t="shared" si="5"/>
        <v>1</v>
      </c>
    </row>
    <row r="19" spans="1:19" ht="15.75" x14ac:dyDescent="0.25">
      <c r="A19" s="2" t="s">
        <v>20</v>
      </c>
      <c r="B19" s="2" t="s">
        <v>21</v>
      </c>
      <c r="C19" s="2">
        <v>16</v>
      </c>
      <c r="D19" s="2">
        <v>150</v>
      </c>
      <c r="E19" s="2">
        <v>0</v>
      </c>
      <c r="F19" s="2">
        <v>70</v>
      </c>
      <c r="G19" s="2" t="s">
        <v>3</v>
      </c>
      <c r="H19" s="2">
        <v>0.5</v>
      </c>
      <c r="M19" s="3" t="s">
        <v>12</v>
      </c>
      <c r="N19" s="3" t="s">
        <v>17</v>
      </c>
      <c r="P19" s="3">
        <v>7</v>
      </c>
      <c r="Q19" s="3">
        <v>1</v>
      </c>
      <c r="R19" s="3">
        <f t="shared" si="5"/>
        <v>8</v>
      </c>
      <c r="S19" s="3">
        <f t="shared" si="5"/>
        <v>1</v>
      </c>
    </row>
    <row r="20" spans="1:19" ht="15.75" x14ac:dyDescent="0.25">
      <c r="A20" s="2" t="s">
        <v>20</v>
      </c>
      <c r="B20" s="2" t="s">
        <v>22</v>
      </c>
      <c r="C20" s="4">
        <v>17</v>
      </c>
      <c r="D20" s="2">
        <v>150</v>
      </c>
      <c r="E20" s="2">
        <v>0</v>
      </c>
      <c r="F20" s="2">
        <v>60</v>
      </c>
      <c r="G20" s="2" t="s">
        <v>3</v>
      </c>
      <c r="H20" s="2">
        <v>0.5</v>
      </c>
      <c r="L20" s="3" t="s">
        <v>62</v>
      </c>
      <c r="P20" s="3">
        <v>6</v>
      </c>
      <c r="Q20" s="3">
        <v>1.5</v>
      </c>
      <c r="R20" s="3">
        <f t="shared" si="1"/>
        <v>7</v>
      </c>
      <c r="S20" s="3">
        <f t="shared" si="2"/>
        <v>1</v>
      </c>
    </row>
    <row r="21" spans="1:19" ht="15.75" x14ac:dyDescent="0.25">
      <c r="A21" s="2" t="s">
        <v>20</v>
      </c>
      <c r="B21" s="2" t="s">
        <v>22</v>
      </c>
      <c r="C21" s="2">
        <v>18</v>
      </c>
      <c r="D21" s="2">
        <v>150</v>
      </c>
      <c r="E21" s="2">
        <v>0</v>
      </c>
      <c r="F21" s="2">
        <v>60</v>
      </c>
      <c r="G21" s="2" t="s">
        <v>3</v>
      </c>
      <c r="H21" s="2">
        <v>0.5</v>
      </c>
      <c r="P21" s="3">
        <v>5</v>
      </c>
      <c r="Q21" s="3">
        <v>2</v>
      </c>
      <c r="R21" s="3">
        <f t="shared" si="1"/>
        <v>6</v>
      </c>
      <c r="S21" s="3">
        <f t="shared" si="2"/>
        <v>1.5</v>
      </c>
    </row>
    <row r="22" spans="1:19" ht="15.75" x14ac:dyDescent="0.25">
      <c r="A22" s="2" t="s">
        <v>20</v>
      </c>
      <c r="B22" s="2" t="s">
        <v>22</v>
      </c>
      <c r="C22" s="2">
        <v>19</v>
      </c>
      <c r="D22" s="2">
        <v>150</v>
      </c>
      <c r="E22" s="2">
        <v>0</v>
      </c>
      <c r="F22" s="2">
        <v>60</v>
      </c>
      <c r="G22" s="2" t="s">
        <v>3</v>
      </c>
      <c r="H22" s="2">
        <v>0.5</v>
      </c>
      <c r="O22" s="3" t="s">
        <v>3</v>
      </c>
      <c r="P22" s="3">
        <v>4.5</v>
      </c>
      <c r="Q22" s="3">
        <v>3</v>
      </c>
      <c r="R22" s="3">
        <f t="shared" si="1"/>
        <v>5</v>
      </c>
      <c r="S22" s="3">
        <f t="shared" si="2"/>
        <v>2</v>
      </c>
    </row>
    <row r="23" spans="1:19" ht="15.75" x14ac:dyDescent="0.25">
      <c r="A23" s="2" t="s">
        <v>20</v>
      </c>
      <c r="B23" s="2" t="s">
        <v>22</v>
      </c>
      <c r="C23" s="4">
        <v>20</v>
      </c>
      <c r="D23" s="2">
        <v>150</v>
      </c>
      <c r="E23" s="2">
        <v>0</v>
      </c>
      <c r="F23" s="2">
        <v>60</v>
      </c>
      <c r="G23" s="2" t="s">
        <v>3</v>
      </c>
      <c r="H23" s="2">
        <v>0.5</v>
      </c>
      <c r="P23" s="3">
        <v>4.5</v>
      </c>
      <c r="Q23" s="3">
        <v>4</v>
      </c>
      <c r="R23" s="3">
        <f t="shared" si="1"/>
        <v>4.5</v>
      </c>
      <c r="S23" s="3">
        <f t="shared" si="2"/>
        <v>3</v>
      </c>
    </row>
    <row r="24" spans="1:19" ht="15.75" x14ac:dyDescent="0.25">
      <c r="A24" s="2" t="s">
        <v>20</v>
      </c>
      <c r="B24" s="2" t="s">
        <v>23</v>
      </c>
      <c r="C24" s="2">
        <v>21</v>
      </c>
      <c r="D24" s="2">
        <v>300</v>
      </c>
      <c r="E24" s="2">
        <v>0</v>
      </c>
      <c r="F24" s="2">
        <v>70</v>
      </c>
      <c r="G24" s="2" t="s">
        <v>3</v>
      </c>
      <c r="H24" s="2">
        <v>0.5</v>
      </c>
      <c r="L24" s="3" t="s">
        <v>63</v>
      </c>
      <c r="P24" s="3">
        <f>P23</f>
        <v>4.5</v>
      </c>
      <c r="Q24" s="3">
        <f>Q23+0.6</f>
        <v>4.5999999999999996</v>
      </c>
      <c r="R24" s="3">
        <f t="shared" si="1"/>
        <v>4.5</v>
      </c>
      <c r="S24" s="3">
        <f t="shared" si="2"/>
        <v>4</v>
      </c>
    </row>
    <row r="25" spans="1:19" ht="15.75" x14ac:dyDescent="0.25">
      <c r="A25" s="2" t="s">
        <v>20</v>
      </c>
      <c r="B25" s="2" t="s">
        <v>23</v>
      </c>
      <c r="C25" s="4">
        <v>22</v>
      </c>
      <c r="D25" s="2">
        <v>300</v>
      </c>
      <c r="E25" s="2">
        <v>0</v>
      </c>
      <c r="F25" s="2">
        <v>70</v>
      </c>
      <c r="G25" s="2" t="s">
        <v>3</v>
      </c>
      <c r="H25" s="2">
        <v>0.5</v>
      </c>
      <c r="M25" s="3" t="s">
        <v>45</v>
      </c>
      <c r="N25" s="3" t="s">
        <v>17</v>
      </c>
      <c r="P25" s="3">
        <f t="shared" ref="P25:P31" si="6">P24</f>
        <v>4.5</v>
      </c>
      <c r="Q25" s="3">
        <f t="shared" ref="Q25:Q31" si="7">Q24+0.6</f>
        <v>5.1999999999999993</v>
      </c>
      <c r="R25" s="3">
        <f t="shared" si="1"/>
        <v>4.5</v>
      </c>
      <c r="S25" s="3">
        <f t="shared" si="2"/>
        <v>4.5999999999999996</v>
      </c>
    </row>
    <row r="26" spans="1:19" ht="15.75" x14ac:dyDescent="0.25">
      <c r="A26" s="2" t="s">
        <v>20</v>
      </c>
      <c r="B26" s="2" t="s">
        <v>23</v>
      </c>
      <c r="C26" s="2">
        <v>23</v>
      </c>
      <c r="D26" s="2">
        <v>300</v>
      </c>
      <c r="E26" s="2">
        <v>0</v>
      </c>
      <c r="F26" s="2">
        <v>70</v>
      </c>
      <c r="G26" s="2" t="s">
        <v>3</v>
      </c>
      <c r="H26" s="2">
        <v>0.5</v>
      </c>
      <c r="L26" s="3" t="s">
        <v>63</v>
      </c>
      <c r="P26" s="3">
        <f t="shared" si="6"/>
        <v>4.5</v>
      </c>
      <c r="Q26" s="3">
        <f t="shared" si="7"/>
        <v>5.7999999999999989</v>
      </c>
      <c r="R26" s="3">
        <f t="shared" si="1"/>
        <v>4.5</v>
      </c>
      <c r="S26" s="3">
        <f t="shared" si="2"/>
        <v>5.1999999999999993</v>
      </c>
    </row>
    <row r="27" spans="1:19" ht="15.75" x14ac:dyDescent="0.25">
      <c r="A27" s="2" t="s">
        <v>20</v>
      </c>
      <c r="B27" s="2" t="s">
        <v>23</v>
      </c>
      <c r="C27" s="2">
        <v>24</v>
      </c>
      <c r="D27" s="2">
        <v>300</v>
      </c>
      <c r="E27" s="2">
        <v>0</v>
      </c>
      <c r="F27" s="2">
        <v>70</v>
      </c>
      <c r="G27" s="2" t="s">
        <v>3</v>
      </c>
      <c r="H27" s="2">
        <v>0.5</v>
      </c>
      <c r="P27" s="3">
        <f t="shared" si="6"/>
        <v>4.5</v>
      </c>
      <c r="Q27" s="3">
        <f t="shared" si="7"/>
        <v>6.3999999999999986</v>
      </c>
      <c r="R27" s="3">
        <f t="shared" si="1"/>
        <v>4.5</v>
      </c>
      <c r="S27" s="3">
        <f t="shared" si="2"/>
        <v>5.7999999999999989</v>
      </c>
    </row>
    <row r="28" spans="1:19" ht="15.75" x14ac:dyDescent="0.25">
      <c r="A28" s="2" t="s">
        <v>20</v>
      </c>
      <c r="B28" s="2" t="s">
        <v>23</v>
      </c>
      <c r="C28" s="4">
        <v>25</v>
      </c>
      <c r="D28" s="2">
        <v>200</v>
      </c>
      <c r="E28" s="2">
        <v>0</v>
      </c>
      <c r="F28" s="2">
        <v>70</v>
      </c>
      <c r="G28" s="2" t="s">
        <v>3</v>
      </c>
      <c r="H28" s="2">
        <v>0.5</v>
      </c>
      <c r="P28" s="3">
        <f t="shared" si="6"/>
        <v>4.5</v>
      </c>
      <c r="Q28" s="3">
        <f t="shared" si="7"/>
        <v>6.9999999999999982</v>
      </c>
      <c r="R28" s="3">
        <f t="shared" si="1"/>
        <v>4.5</v>
      </c>
      <c r="S28" s="3">
        <f t="shared" si="2"/>
        <v>6.3999999999999986</v>
      </c>
    </row>
    <row r="29" spans="1:19" ht="15.75" x14ac:dyDescent="0.25">
      <c r="A29" s="2" t="s">
        <v>20</v>
      </c>
      <c r="B29" s="2" t="s">
        <v>23</v>
      </c>
      <c r="C29" s="2">
        <v>26</v>
      </c>
      <c r="D29" s="2">
        <v>100</v>
      </c>
      <c r="E29" s="2">
        <v>0</v>
      </c>
      <c r="F29" s="2">
        <v>70</v>
      </c>
      <c r="G29" s="2" t="s">
        <v>3</v>
      </c>
      <c r="H29" s="2">
        <v>0.5</v>
      </c>
      <c r="P29" s="3">
        <f t="shared" si="6"/>
        <v>4.5</v>
      </c>
      <c r="Q29" s="3">
        <f t="shared" si="7"/>
        <v>7.5999999999999979</v>
      </c>
      <c r="R29" s="3">
        <f t="shared" si="1"/>
        <v>4.5</v>
      </c>
      <c r="S29" s="3">
        <f t="shared" si="2"/>
        <v>6.9999999999999982</v>
      </c>
    </row>
    <row r="30" spans="1:19" ht="15.75" x14ac:dyDescent="0.25">
      <c r="A30" s="2" t="s">
        <v>20</v>
      </c>
      <c r="B30" s="2" t="s">
        <v>23</v>
      </c>
      <c r="C30" s="4">
        <v>27</v>
      </c>
      <c r="D30" s="2">
        <v>50</v>
      </c>
      <c r="E30" s="2">
        <v>0</v>
      </c>
      <c r="F30" s="2">
        <v>30</v>
      </c>
      <c r="G30" s="2" t="s">
        <v>3</v>
      </c>
      <c r="H30" s="2">
        <v>0.5</v>
      </c>
      <c r="P30" s="3">
        <f t="shared" si="6"/>
        <v>4.5</v>
      </c>
      <c r="Q30" s="3">
        <f t="shared" si="7"/>
        <v>8.1999999999999975</v>
      </c>
      <c r="R30" s="3">
        <f t="shared" si="1"/>
        <v>4.5</v>
      </c>
      <c r="S30" s="3">
        <f t="shared" si="2"/>
        <v>7.5999999999999979</v>
      </c>
    </row>
    <row r="31" spans="1:19" ht="15.75" x14ac:dyDescent="0.25">
      <c r="A31" s="2" t="s">
        <v>20</v>
      </c>
      <c r="B31" s="2" t="s">
        <v>23</v>
      </c>
      <c r="C31" s="2">
        <v>28</v>
      </c>
      <c r="D31" s="2">
        <v>50</v>
      </c>
      <c r="E31" s="2">
        <v>0</v>
      </c>
      <c r="F31" s="2">
        <v>30</v>
      </c>
      <c r="G31" s="2" t="s">
        <v>3</v>
      </c>
      <c r="H31" s="2">
        <v>0.5</v>
      </c>
      <c r="J31" s="3">
        <v>29</v>
      </c>
      <c r="K31" s="3">
        <v>150</v>
      </c>
      <c r="P31" s="3">
        <f t="shared" si="6"/>
        <v>4.5</v>
      </c>
      <c r="Q31" s="3">
        <f t="shared" si="7"/>
        <v>8.7999999999999972</v>
      </c>
      <c r="R31" s="3">
        <f t="shared" si="1"/>
        <v>4.5</v>
      </c>
      <c r="S31" s="3">
        <f t="shared" si="2"/>
        <v>8.1999999999999975</v>
      </c>
    </row>
    <row r="32" spans="1:19" ht="15.75" x14ac:dyDescent="0.25">
      <c r="A32" s="2" t="s">
        <v>20</v>
      </c>
      <c r="B32" s="2" t="s">
        <v>24</v>
      </c>
      <c r="C32" s="2">
        <v>29</v>
      </c>
      <c r="D32" s="2">
        <v>50</v>
      </c>
      <c r="E32" s="2">
        <v>0</v>
      </c>
      <c r="F32" s="2">
        <v>30</v>
      </c>
      <c r="H32" s="2">
        <v>0.5</v>
      </c>
      <c r="P32" s="3">
        <f>P31</f>
        <v>4.5</v>
      </c>
      <c r="Q32" s="3">
        <f>Q31</f>
        <v>8.7999999999999972</v>
      </c>
      <c r="R32" s="3">
        <f>P31</f>
        <v>4.5</v>
      </c>
      <c r="S32" s="3">
        <f>Q31+0.6</f>
        <v>9.3999999999999968</v>
      </c>
    </row>
    <row r="33" spans="1:19" ht="15.75" x14ac:dyDescent="0.25">
      <c r="A33" s="2" t="s">
        <v>20</v>
      </c>
      <c r="B33" s="2" t="s">
        <v>24</v>
      </c>
      <c r="C33" s="4">
        <v>30</v>
      </c>
      <c r="D33" s="2">
        <v>50</v>
      </c>
      <c r="E33" s="2">
        <v>0</v>
      </c>
      <c r="F33" s="2">
        <v>30</v>
      </c>
      <c r="H33" s="2">
        <v>0.5</v>
      </c>
      <c r="L33" s="3" t="s">
        <v>64</v>
      </c>
      <c r="P33" s="3">
        <f t="shared" ref="P33:P61" si="8">R32</f>
        <v>4.5</v>
      </c>
      <c r="Q33" s="3">
        <f t="shared" ref="Q33:Q61" si="9">S32</f>
        <v>9.3999999999999968</v>
      </c>
      <c r="R33" s="3">
        <f>R32</f>
        <v>4.5</v>
      </c>
      <c r="S33" s="3">
        <f t="shared" ref="S33:S35" si="10">S32+0.6</f>
        <v>9.9999999999999964</v>
      </c>
    </row>
    <row r="34" spans="1:19" ht="15.75" x14ac:dyDescent="0.25">
      <c r="A34" s="2" t="s">
        <v>20</v>
      </c>
      <c r="B34" s="2" t="s">
        <v>24</v>
      </c>
      <c r="C34" s="2">
        <v>31</v>
      </c>
      <c r="D34" s="2">
        <v>50</v>
      </c>
      <c r="E34" s="2">
        <v>0</v>
      </c>
      <c r="F34" s="2">
        <v>30</v>
      </c>
      <c r="H34" s="2">
        <v>0.5</v>
      </c>
      <c r="M34" s="3" t="s">
        <v>46</v>
      </c>
      <c r="N34" s="3" t="s">
        <v>29</v>
      </c>
      <c r="P34" s="3">
        <f t="shared" si="8"/>
        <v>4.5</v>
      </c>
      <c r="Q34" s="3">
        <f t="shared" si="9"/>
        <v>9.9999999999999964</v>
      </c>
      <c r="R34" s="3">
        <f>R33</f>
        <v>4.5</v>
      </c>
      <c r="S34" s="3">
        <f t="shared" si="10"/>
        <v>10.599999999999996</v>
      </c>
    </row>
    <row r="35" spans="1:19" ht="15.75" x14ac:dyDescent="0.25">
      <c r="A35" s="2" t="s">
        <v>20</v>
      </c>
      <c r="B35" s="2" t="s">
        <v>24</v>
      </c>
      <c r="C35" s="4">
        <v>32</v>
      </c>
      <c r="D35" s="2">
        <v>50</v>
      </c>
      <c r="E35" s="2">
        <v>0</v>
      </c>
      <c r="F35" s="2">
        <v>30</v>
      </c>
      <c r="H35" s="2">
        <v>0.5</v>
      </c>
      <c r="L35" s="3" t="s">
        <v>64</v>
      </c>
      <c r="P35" s="3">
        <f t="shared" si="8"/>
        <v>4.5</v>
      </c>
      <c r="Q35" s="3">
        <f t="shared" si="9"/>
        <v>10.599999999999996</v>
      </c>
      <c r="R35" s="3">
        <f>R34</f>
        <v>4.5</v>
      </c>
      <c r="S35" s="3">
        <f t="shared" si="10"/>
        <v>11.199999999999996</v>
      </c>
    </row>
    <row r="36" spans="1:19" ht="15.75" x14ac:dyDescent="0.25">
      <c r="A36" s="2" t="s">
        <v>20</v>
      </c>
      <c r="B36" s="2" t="s">
        <v>25</v>
      </c>
      <c r="C36" s="2">
        <v>33</v>
      </c>
      <c r="D36" s="2">
        <v>50</v>
      </c>
      <c r="E36" s="2">
        <v>0</v>
      </c>
      <c r="F36" s="2">
        <v>30</v>
      </c>
      <c r="H36" s="2">
        <v>0.5</v>
      </c>
      <c r="P36" s="3">
        <f t="shared" si="8"/>
        <v>4.5</v>
      </c>
      <c r="Q36" s="3">
        <f t="shared" si="9"/>
        <v>11.199999999999996</v>
      </c>
      <c r="R36" s="3">
        <f>R35+0.7</f>
        <v>5.2</v>
      </c>
      <c r="S36" s="3">
        <f>S35+0.8</f>
        <v>11.999999999999996</v>
      </c>
    </row>
    <row r="37" spans="1:19" ht="15.75" x14ac:dyDescent="0.25">
      <c r="A37" s="2" t="s">
        <v>20</v>
      </c>
      <c r="B37" s="2" t="s">
        <v>25</v>
      </c>
      <c r="C37" s="2">
        <v>34</v>
      </c>
      <c r="D37" s="2">
        <v>50</v>
      </c>
      <c r="E37" s="2">
        <v>0</v>
      </c>
      <c r="F37" s="2">
        <v>30</v>
      </c>
      <c r="H37" s="2">
        <v>0.5</v>
      </c>
      <c r="P37" s="3">
        <f t="shared" si="8"/>
        <v>5.2</v>
      </c>
      <c r="Q37" s="3">
        <f t="shared" si="9"/>
        <v>11.999999999999996</v>
      </c>
      <c r="R37" s="3">
        <f t="shared" ref="R37:R38" si="11">R36+0.7</f>
        <v>5.9</v>
      </c>
      <c r="S37" s="3">
        <f t="shared" ref="S37:S38" si="12">S36+0.8</f>
        <v>12.799999999999997</v>
      </c>
    </row>
    <row r="38" spans="1:19" ht="15.75" x14ac:dyDescent="0.25">
      <c r="A38" s="2" t="s">
        <v>20</v>
      </c>
      <c r="B38" s="2" t="s">
        <v>25</v>
      </c>
      <c r="C38" s="4">
        <v>35</v>
      </c>
      <c r="D38" s="2">
        <v>50</v>
      </c>
      <c r="E38" s="2">
        <v>0</v>
      </c>
      <c r="F38" s="2">
        <v>30</v>
      </c>
      <c r="H38" s="2">
        <v>0.5</v>
      </c>
      <c r="P38" s="3">
        <f t="shared" si="8"/>
        <v>5.9</v>
      </c>
      <c r="Q38" s="3">
        <f t="shared" si="9"/>
        <v>12.799999999999997</v>
      </c>
      <c r="R38" s="3">
        <f t="shared" si="11"/>
        <v>6.6000000000000005</v>
      </c>
      <c r="S38" s="3">
        <f t="shared" si="12"/>
        <v>13.599999999999998</v>
      </c>
    </row>
    <row r="39" spans="1:19" ht="15.75" x14ac:dyDescent="0.25">
      <c r="A39" s="2" t="s">
        <v>20</v>
      </c>
      <c r="B39" s="2" t="s">
        <v>26</v>
      </c>
      <c r="C39" s="2">
        <v>36</v>
      </c>
      <c r="D39" s="2">
        <v>50</v>
      </c>
      <c r="E39" s="2">
        <v>0</v>
      </c>
      <c r="F39" s="2">
        <v>30</v>
      </c>
      <c r="H39" s="2">
        <v>0.5</v>
      </c>
      <c r="I39" s="3" t="s">
        <v>3</v>
      </c>
      <c r="P39" s="3">
        <f t="shared" si="8"/>
        <v>6.6000000000000005</v>
      </c>
      <c r="Q39" s="3">
        <f t="shared" si="9"/>
        <v>13.599999999999998</v>
      </c>
      <c r="R39" s="3">
        <f>R38+0.5</f>
        <v>7.1000000000000005</v>
      </c>
      <c r="S39" s="3">
        <f>S38</f>
        <v>13.599999999999998</v>
      </c>
    </row>
    <row r="40" spans="1:19" ht="15.75" x14ac:dyDescent="0.25">
      <c r="A40" s="2" t="s">
        <v>20</v>
      </c>
      <c r="B40" s="2" t="s">
        <v>26</v>
      </c>
      <c r="C40" s="2">
        <v>37</v>
      </c>
      <c r="D40" s="2">
        <v>50</v>
      </c>
      <c r="E40" s="2">
        <v>0</v>
      </c>
      <c r="F40" s="2">
        <v>30</v>
      </c>
      <c r="H40" s="2">
        <v>0.5</v>
      </c>
      <c r="I40" s="3" t="s">
        <v>3</v>
      </c>
      <c r="P40" s="3">
        <f t="shared" si="8"/>
        <v>7.1000000000000005</v>
      </c>
      <c r="Q40" s="3">
        <f t="shared" si="9"/>
        <v>13.599999999999998</v>
      </c>
      <c r="R40" s="3">
        <f t="shared" ref="R40:R60" si="13">R39+0.5</f>
        <v>7.6000000000000005</v>
      </c>
      <c r="S40" s="3">
        <f t="shared" ref="S40:S60" si="14">S39</f>
        <v>13.599999999999998</v>
      </c>
    </row>
    <row r="41" spans="1:19" ht="15.75" x14ac:dyDescent="0.25">
      <c r="A41" s="2" t="s">
        <v>20</v>
      </c>
      <c r="B41" s="2" t="s">
        <v>26</v>
      </c>
      <c r="C41" s="4">
        <v>38</v>
      </c>
      <c r="D41" s="2">
        <v>50</v>
      </c>
      <c r="E41" s="2">
        <v>0</v>
      </c>
      <c r="F41" s="2">
        <v>30</v>
      </c>
      <c r="H41" s="2">
        <v>0.5</v>
      </c>
      <c r="I41" s="3" t="s">
        <v>3</v>
      </c>
      <c r="L41" s="3" t="s">
        <v>65</v>
      </c>
      <c r="P41" s="3">
        <f t="shared" si="8"/>
        <v>7.6000000000000005</v>
      </c>
      <c r="Q41" s="3">
        <f t="shared" si="9"/>
        <v>13.599999999999998</v>
      </c>
      <c r="R41" s="3">
        <f t="shared" si="13"/>
        <v>8.1000000000000014</v>
      </c>
      <c r="S41" s="3">
        <f t="shared" si="14"/>
        <v>13.599999999999998</v>
      </c>
    </row>
    <row r="42" spans="1:19" ht="15.75" x14ac:dyDescent="0.25">
      <c r="A42" s="2" t="s">
        <v>20</v>
      </c>
      <c r="B42" s="2" t="s">
        <v>26</v>
      </c>
      <c r="C42" s="2">
        <v>39</v>
      </c>
      <c r="D42" s="2">
        <v>50</v>
      </c>
      <c r="E42" s="2">
        <v>0</v>
      </c>
      <c r="F42" s="2">
        <v>30</v>
      </c>
      <c r="H42" s="2">
        <v>0.5</v>
      </c>
      <c r="I42" s="3" t="s">
        <v>3</v>
      </c>
      <c r="M42" s="3" t="s">
        <v>47</v>
      </c>
      <c r="N42" s="3" t="s">
        <v>35</v>
      </c>
      <c r="P42" s="3">
        <f t="shared" si="8"/>
        <v>8.1000000000000014</v>
      </c>
      <c r="Q42" s="3">
        <f t="shared" si="9"/>
        <v>13.599999999999998</v>
      </c>
      <c r="R42" s="3">
        <f t="shared" si="13"/>
        <v>8.6000000000000014</v>
      </c>
      <c r="S42" s="3">
        <f t="shared" si="14"/>
        <v>13.599999999999998</v>
      </c>
    </row>
    <row r="43" spans="1:19" ht="15.75" x14ac:dyDescent="0.25">
      <c r="A43" s="2" t="s">
        <v>20</v>
      </c>
      <c r="B43" s="2" t="s">
        <v>26</v>
      </c>
      <c r="C43" s="2">
        <v>40</v>
      </c>
      <c r="D43" s="2">
        <v>50</v>
      </c>
      <c r="E43" s="2">
        <v>0</v>
      </c>
      <c r="F43" s="2">
        <v>30</v>
      </c>
      <c r="H43" s="2">
        <v>0.5</v>
      </c>
      <c r="I43" s="3" t="s">
        <v>3</v>
      </c>
      <c r="L43" s="3" t="s">
        <v>65</v>
      </c>
      <c r="P43" s="3">
        <f t="shared" si="8"/>
        <v>8.6000000000000014</v>
      </c>
      <c r="Q43" s="3">
        <f t="shared" si="9"/>
        <v>13.599999999999998</v>
      </c>
      <c r="R43" s="3">
        <f t="shared" si="13"/>
        <v>9.1000000000000014</v>
      </c>
      <c r="S43" s="3">
        <f t="shared" si="14"/>
        <v>13.599999999999998</v>
      </c>
    </row>
    <row r="44" spans="1:19" ht="15.75" x14ac:dyDescent="0.25">
      <c r="A44" s="2" t="s">
        <v>20</v>
      </c>
      <c r="B44" s="2" t="s">
        <v>26</v>
      </c>
      <c r="C44" s="4">
        <v>41</v>
      </c>
      <c r="D44" s="2">
        <v>50</v>
      </c>
      <c r="E44" s="2">
        <v>0</v>
      </c>
      <c r="F44" s="2">
        <v>30</v>
      </c>
      <c r="H44" s="2">
        <v>0.5</v>
      </c>
      <c r="I44" s="3" t="s">
        <v>3</v>
      </c>
      <c r="P44" s="3">
        <f t="shared" si="8"/>
        <v>9.1000000000000014</v>
      </c>
      <c r="Q44" s="3">
        <f t="shared" si="9"/>
        <v>13.599999999999998</v>
      </c>
      <c r="R44" s="3">
        <f t="shared" si="13"/>
        <v>9.6000000000000014</v>
      </c>
      <c r="S44" s="3">
        <f t="shared" si="14"/>
        <v>13.599999999999998</v>
      </c>
    </row>
    <row r="45" spans="1:19" ht="15.75" x14ac:dyDescent="0.25">
      <c r="A45" s="2" t="s">
        <v>20</v>
      </c>
      <c r="B45" s="2" t="s">
        <v>26</v>
      </c>
      <c r="C45" s="2">
        <v>42</v>
      </c>
      <c r="D45" s="2">
        <v>50</v>
      </c>
      <c r="E45" s="2">
        <v>0</v>
      </c>
      <c r="F45" s="2">
        <v>30</v>
      </c>
      <c r="H45" s="2">
        <v>0.5</v>
      </c>
      <c r="I45" s="3" t="s">
        <v>3</v>
      </c>
      <c r="P45" s="3">
        <f t="shared" si="8"/>
        <v>9.6000000000000014</v>
      </c>
      <c r="Q45" s="3">
        <f t="shared" si="9"/>
        <v>13.599999999999998</v>
      </c>
      <c r="R45" s="3">
        <f t="shared" si="13"/>
        <v>10.100000000000001</v>
      </c>
      <c r="S45" s="3">
        <f t="shared" si="14"/>
        <v>13.599999999999998</v>
      </c>
    </row>
    <row r="46" spans="1:19" ht="15.75" x14ac:dyDescent="0.25">
      <c r="A46" s="2" t="s">
        <v>20</v>
      </c>
      <c r="B46" s="2" t="s">
        <v>26</v>
      </c>
      <c r="C46" s="2">
        <v>43</v>
      </c>
      <c r="D46" s="2">
        <v>50</v>
      </c>
      <c r="E46" s="2">
        <v>0</v>
      </c>
      <c r="F46" s="2">
        <v>30</v>
      </c>
      <c r="H46" s="2">
        <v>0.5</v>
      </c>
      <c r="I46" s="3" t="s">
        <v>3</v>
      </c>
      <c r="P46" s="3">
        <f t="shared" si="8"/>
        <v>10.100000000000001</v>
      </c>
      <c r="Q46" s="3">
        <f t="shared" si="9"/>
        <v>13.599999999999998</v>
      </c>
      <c r="R46" s="3">
        <f t="shared" si="13"/>
        <v>10.600000000000001</v>
      </c>
      <c r="S46" s="3">
        <f t="shared" si="14"/>
        <v>13.599999999999998</v>
      </c>
    </row>
    <row r="47" spans="1:19" ht="15.75" x14ac:dyDescent="0.25">
      <c r="A47" s="2" t="s">
        <v>20</v>
      </c>
      <c r="B47" s="2" t="s">
        <v>26</v>
      </c>
      <c r="C47" s="4">
        <v>44</v>
      </c>
      <c r="D47" s="2">
        <v>50</v>
      </c>
      <c r="E47" s="2">
        <v>0</v>
      </c>
      <c r="F47" s="2">
        <v>30</v>
      </c>
      <c r="H47" s="2">
        <v>0.5</v>
      </c>
      <c r="I47" s="3" t="s">
        <v>3</v>
      </c>
      <c r="P47" s="3">
        <f t="shared" si="8"/>
        <v>10.600000000000001</v>
      </c>
      <c r="Q47" s="3">
        <f t="shared" si="9"/>
        <v>13.599999999999998</v>
      </c>
      <c r="R47" s="3">
        <f t="shared" si="13"/>
        <v>11.100000000000001</v>
      </c>
      <c r="S47" s="3">
        <f t="shared" si="14"/>
        <v>13.599999999999998</v>
      </c>
    </row>
    <row r="48" spans="1:19" ht="15.75" x14ac:dyDescent="0.25">
      <c r="A48" s="2" t="s">
        <v>20</v>
      </c>
      <c r="B48" s="2" t="s">
        <v>26</v>
      </c>
      <c r="C48" s="2">
        <v>45</v>
      </c>
      <c r="D48" s="2">
        <v>50</v>
      </c>
      <c r="E48" s="2">
        <v>0</v>
      </c>
      <c r="F48" s="2">
        <v>30</v>
      </c>
      <c r="H48" s="2">
        <v>0.5</v>
      </c>
      <c r="I48" s="3" t="s">
        <v>3</v>
      </c>
      <c r="P48" s="3">
        <f t="shared" si="8"/>
        <v>11.100000000000001</v>
      </c>
      <c r="Q48" s="3">
        <f t="shared" si="9"/>
        <v>13.599999999999998</v>
      </c>
      <c r="R48" s="3">
        <f t="shared" si="13"/>
        <v>11.600000000000001</v>
      </c>
      <c r="S48" s="3">
        <f t="shared" si="14"/>
        <v>13.599999999999998</v>
      </c>
    </row>
    <row r="49" spans="1:19" ht="15.75" x14ac:dyDescent="0.25">
      <c r="A49" s="2" t="s">
        <v>20</v>
      </c>
      <c r="B49" s="2" t="s">
        <v>26</v>
      </c>
      <c r="C49" s="2">
        <v>46</v>
      </c>
      <c r="D49" s="2">
        <v>50</v>
      </c>
      <c r="E49" s="2">
        <v>0</v>
      </c>
      <c r="F49" s="2">
        <v>30</v>
      </c>
      <c r="H49" s="2">
        <v>0.5</v>
      </c>
      <c r="I49" s="3" t="s">
        <v>3</v>
      </c>
      <c r="P49" s="3">
        <f t="shared" si="8"/>
        <v>11.600000000000001</v>
      </c>
      <c r="Q49" s="3">
        <f t="shared" si="9"/>
        <v>13.599999999999998</v>
      </c>
      <c r="R49" s="3">
        <f t="shared" si="13"/>
        <v>12.100000000000001</v>
      </c>
      <c r="S49" s="3">
        <f t="shared" si="14"/>
        <v>13.599999999999998</v>
      </c>
    </row>
    <row r="50" spans="1:19" ht="15.75" x14ac:dyDescent="0.25">
      <c r="A50" s="2" t="s">
        <v>20</v>
      </c>
      <c r="B50" s="2" t="s">
        <v>26</v>
      </c>
      <c r="C50" s="4">
        <v>47</v>
      </c>
      <c r="D50" s="2">
        <v>50</v>
      </c>
      <c r="E50" s="2">
        <v>0</v>
      </c>
      <c r="F50" s="2">
        <v>30</v>
      </c>
      <c r="H50" s="2">
        <v>0.5</v>
      </c>
      <c r="I50" s="3" t="s">
        <v>3</v>
      </c>
      <c r="L50" s="3" t="s">
        <v>66</v>
      </c>
      <c r="P50" s="3">
        <f t="shared" si="8"/>
        <v>12.100000000000001</v>
      </c>
      <c r="Q50" s="3">
        <f t="shared" si="9"/>
        <v>13.599999999999998</v>
      </c>
      <c r="R50" s="3">
        <f t="shared" si="13"/>
        <v>12.600000000000001</v>
      </c>
      <c r="S50" s="3">
        <f t="shared" si="14"/>
        <v>13.599999999999998</v>
      </c>
    </row>
    <row r="51" spans="1:19" ht="15.75" x14ac:dyDescent="0.25">
      <c r="A51" s="2" t="s">
        <v>20</v>
      </c>
      <c r="B51" s="2" t="s">
        <v>26</v>
      </c>
      <c r="C51" s="2">
        <v>48</v>
      </c>
      <c r="D51" s="2">
        <v>50</v>
      </c>
      <c r="E51" s="2">
        <v>0</v>
      </c>
      <c r="F51" s="2">
        <v>30</v>
      </c>
      <c r="H51" s="2">
        <v>0.5</v>
      </c>
      <c r="I51" s="3" t="s">
        <v>3</v>
      </c>
      <c r="M51" s="3" t="s">
        <v>48</v>
      </c>
      <c r="N51" s="3" t="s">
        <v>35</v>
      </c>
      <c r="P51" s="3">
        <f t="shared" si="8"/>
        <v>12.600000000000001</v>
      </c>
      <c r="Q51" s="3">
        <f t="shared" si="9"/>
        <v>13.599999999999998</v>
      </c>
      <c r="R51" s="3">
        <f t="shared" si="13"/>
        <v>13.100000000000001</v>
      </c>
      <c r="S51" s="3">
        <f t="shared" si="14"/>
        <v>13.599999999999998</v>
      </c>
    </row>
    <row r="52" spans="1:19" ht="15.75" x14ac:dyDescent="0.25">
      <c r="A52" s="2" t="s">
        <v>20</v>
      </c>
      <c r="B52" s="2" t="s">
        <v>26</v>
      </c>
      <c r="C52" s="2">
        <v>49</v>
      </c>
      <c r="D52" s="2">
        <v>50</v>
      </c>
      <c r="E52" s="2">
        <v>0</v>
      </c>
      <c r="F52" s="2">
        <v>30</v>
      </c>
      <c r="H52" s="2">
        <v>0.5</v>
      </c>
      <c r="I52" s="3" t="s">
        <v>3</v>
      </c>
      <c r="L52" s="3" t="s">
        <v>66</v>
      </c>
      <c r="P52" s="3">
        <f t="shared" si="8"/>
        <v>13.100000000000001</v>
      </c>
      <c r="Q52" s="3">
        <f t="shared" si="9"/>
        <v>13.599999999999998</v>
      </c>
      <c r="R52" s="3">
        <f t="shared" si="13"/>
        <v>13.600000000000001</v>
      </c>
      <c r="S52" s="3">
        <f t="shared" si="14"/>
        <v>13.599999999999998</v>
      </c>
    </row>
    <row r="53" spans="1:19" ht="15.75" x14ac:dyDescent="0.25">
      <c r="A53" s="2" t="s">
        <v>20</v>
      </c>
      <c r="B53" s="2" t="s">
        <v>26</v>
      </c>
      <c r="C53" s="4">
        <v>50</v>
      </c>
      <c r="D53" s="2">
        <v>50</v>
      </c>
      <c r="E53" s="2">
        <v>0</v>
      </c>
      <c r="F53" s="2">
        <v>30</v>
      </c>
      <c r="H53" s="2">
        <v>0.5</v>
      </c>
      <c r="I53" s="3" t="s">
        <v>3</v>
      </c>
      <c r="P53" s="3">
        <f t="shared" si="8"/>
        <v>13.600000000000001</v>
      </c>
      <c r="Q53" s="3">
        <f t="shared" si="9"/>
        <v>13.599999999999998</v>
      </c>
      <c r="R53" s="3">
        <f t="shared" si="13"/>
        <v>14.100000000000001</v>
      </c>
      <c r="S53" s="3">
        <f t="shared" si="14"/>
        <v>13.599999999999998</v>
      </c>
    </row>
    <row r="54" spans="1:19" ht="15.75" x14ac:dyDescent="0.25">
      <c r="A54" s="2" t="s">
        <v>20</v>
      </c>
      <c r="B54" s="2" t="s">
        <v>26</v>
      </c>
      <c r="C54" s="2">
        <v>51</v>
      </c>
      <c r="D54" s="2">
        <v>50</v>
      </c>
      <c r="E54" s="2">
        <v>0</v>
      </c>
      <c r="F54" s="2">
        <v>30</v>
      </c>
      <c r="H54" s="2">
        <v>0.5</v>
      </c>
      <c r="I54" s="3" t="s">
        <v>3</v>
      </c>
      <c r="P54" s="3">
        <f t="shared" si="8"/>
        <v>14.100000000000001</v>
      </c>
      <c r="Q54" s="3">
        <f t="shared" si="9"/>
        <v>13.599999999999998</v>
      </c>
      <c r="R54" s="3">
        <f t="shared" si="13"/>
        <v>14.600000000000001</v>
      </c>
      <c r="S54" s="3">
        <f t="shared" si="14"/>
        <v>13.599999999999998</v>
      </c>
    </row>
    <row r="55" spans="1:19" ht="15.75" x14ac:dyDescent="0.25">
      <c r="A55" s="2" t="s">
        <v>20</v>
      </c>
      <c r="B55" s="2" t="s">
        <v>26</v>
      </c>
      <c r="C55" s="2">
        <v>52</v>
      </c>
      <c r="D55" s="2">
        <v>50</v>
      </c>
      <c r="E55" s="2">
        <v>0</v>
      </c>
      <c r="F55" s="2">
        <v>30</v>
      </c>
      <c r="H55" s="2">
        <v>0.5</v>
      </c>
      <c r="I55" s="3" t="s">
        <v>3</v>
      </c>
      <c r="P55" s="3">
        <f t="shared" si="8"/>
        <v>14.600000000000001</v>
      </c>
      <c r="Q55" s="3">
        <f t="shared" si="9"/>
        <v>13.599999999999998</v>
      </c>
      <c r="R55" s="3">
        <f t="shared" si="13"/>
        <v>15.100000000000001</v>
      </c>
      <c r="S55" s="3">
        <f t="shared" si="14"/>
        <v>13.599999999999998</v>
      </c>
    </row>
    <row r="56" spans="1:19" ht="15.75" x14ac:dyDescent="0.25">
      <c r="A56" s="2" t="s">
        <v>20</v>
      </c>
      <c r="B56" s="2" t="s">
        <v>26</v>
      </c>
      <c r="C56" s="4">
        <v>53</v>
      </c>
      <c r="D56" s="2">
        <v>50</v>
      </c>
      <c r="E56" s="2">
        <v>0</v>
      </c>
      <c r="F56" s="2">
        <v>30</v>
      </c>
      <c r="H56" s="2">
        <v>0.5</v>
      </c>
      <c r="I56" s="3" t="s">
        <v>3</v>
      </c>
      <c r="P56" s="3">
        <f t="shared" si="8"/>
        <v>15.100000000000001</v>
      </c>
      <c r="Q56" s="3">
        <f t="shared" si="9"/>
        <v>13.599999999999998</v>
      </c>
      <c r="R56" s="3">
        <f t="shared" si="13"/>
        <v>15.600000000000001</v>
      </c>
      <c r="S56" s="3">
        <f t="shared" si="14"/>
        <v>13.599999999999998</v>
      </c>
    </row>
    <row r="57" spans="1:19" ht="15.75" x14ac:dyDescent="0.25">
      <c r="A57" s="2" t="s">
        <v>20</v>
      </c>
      <c r="B57" s="2" t="s">
        <v>26</v>
      </c>
      <c r="C57" s="2">
        <v>54</v>
      </c>
      <c r="D57" s="2">
        <v>50</v>
      </c>
      <c r="E57" s="2">
        <v>0</v>
      </c>
      <c r="F57" s="2">
        <v>30</v>
      </c>
      <c r="H57" s="2">
        <v>0.5</v>
      </c>
      <c r="I57" s="3" t="s">
        <v>3</v>
      </c>
      <c r="P57" s="3">
        <f t="shared" si="8"/>
        <v>15.600000000000001</v>
      </c>
      <c r="Q57" s="3">
        <f t="shared" si="9"/>
        <v>13.599999999999998</v>
      </c>
      <c r="R57" s="3">
        <f t="shared" si="13"/>
        <v>16.100000000000001</v>
      </c>
      <c r="S57" s="3">
        <f t="shared" si="14"/>
        <v>13.599999999999998</v>
      </c>
    </row>
    <row r="58" spans="1:19" ht="15.75" x14ac:dyDescent="0.25">
      <c r="A58" s="2" t="s">
        <v>20</v>
      </c>
      <c r="B58" s="2" t="s">
        <v>26</v>
      </c>
      <c r="C58" s="2">
        <v>55</v>
      </c>
      <c r="D58" s="2">
        <v>50</v>
      </c>
      <c r="E58" s="2">
        <v>0</v>
      </c>
      <c r="F58" s="2">
        <v>30</v>
      </c>
      <c r="H58" s="2">
        <v>0.5</v>
      </c>
      <c r="I58" s="3" t="s">
        <v>3</v>
      </c>
      <c r="P58" s="3">
        <f t="shared" si="8"/>
        <v>16.100000000000001</v>
      </c>
      <c r="Q58" s="3">
        <f t="shared" si="9"/>
        <v>13.599999999999998</v>
      </c>
      <c r="R58" s="3">
        <f t="shared" si="13"/>
        <v>16.600000000000001</v>
      </c>
      <c r="S58" s="3">
        <f t="shared" si="14"/>
        <v>13.599999999999998</v>
      </c>
    </row>
    <row r="59" spans="1:19" ht="15.75" x14ac:dyDescent="0.25">
      <c r="A59" s="2" t="s">
        <v>20</v>
      </c>
      <c r="B59" s="2" t="s">
        <v>26</v>
      </c>
      <c r="C59" s="4">
        <v>56</v>
      </c>
      <c r="D59" s="2">
        <v>50</v>
      </c>
      <c r="E59" s="2">
        <v>0</v>
      </c>
      <c r="F59" s="2">
        <v>30</v>
      </c>
      <c r="H59" s="2">
        <v>0.5</v>
      </c>
      <c r="I59" s="3" t="s">
        <v>3</v>
      </c>
      <c r="L59" s="3" t="s">
        <v>67</v>
      </c>
      <c r="P59" s="3">
        <f t="shared" si="8"/>
        <v>16.600000000000001</v>
      </c>
      <c r="Q59" s="3">
        <f t="shared" si="9"/>
        <v>13.599999999999998</v>
      </c>
      <c r="R59" s="3">
        <f t="shared" si="13"/>
        <v>17.100000000000001</v>
      </c>
      <c r="S59" s="3">
        <f t="shared" si="14"/>
        <v>13.599999999999998</v>
      </c>
    </row>
    <row r="60" spans="1:19" ht="15.75" x14ac:dyDescent="0.25">
      <c r="A60" s="2" t="s">
        <v>20</v>
      </c>
      <c r="B60" s="2" t="s">
        <v>26</v>
      </c>
      <c r="C60" s="2">
        <v>57</v>
      </c>
      <c r="D60" s="2">
        <v>50</v>
      </c>
      <c r="E60" s="2">
        <v>0</v>
      </c>
      <c r="F60" s="2">
        <v>30</v>
      </c>
      <c r="H60" s="2">
        <v>0.5</v>
      </c>
      <c r="I60" s="3" t="s">
        <v>3</v>
      </c>
      <c r="M60" s="3" t="s">
        <v>49</v>
      </c>
      <c r="N60" s="3" t="s">
        <v>35</v>
      </c>
      <c r="P60" s="3">
        <f t="shared" si="8"/>
        <v>17.100000000000001</v>
      </c>
      <c r="Q60" s="3">
        <f t="shared" si="9"/>
        <v>13.599999999999998</v>
      </c>
      <c r="R60" s="3">
        <f t="shared" si="13"/>
        <v>17.600000000000001</v>
      </c>
      <c r="S60" s="3">
        <f t="shared" si="14"/>
        <v>13.599999999999998</v>
      </c>
    </row>
    <row r="61" spans="1:19" ht="15.75" x14ac:dyDescent="0.25">
      <c r="A61" s="2" t="s">
        <v>20</v>
      </c>
      <c r="B61" s="2" t="s">
        <v>27</v>
      </c>
      <c r="C61" s="2">
        <v>58</v>
      </c>
      <c r="D61" s="2">
        <v>50</v>
      </c>
      <c r="E61" s="2">
        <v>0</v>
      </c>
      <c r="F61" s="2">
        <v>30</v>
      </c>
      <c r="H61" s="2">
        <v>0.5</v>
      </c>
      <c r="J61" s="3">
        <v>0</v>
      </c>
      <c r="K61" s="3">
        <v>57</v>
      </c>
      <c r="L61" s="3" t="s">
        <v>67</v>
      </c>
      <c r="P61" s="3">
        <f t="shared" si="8"/>
        <v>17.600000000000001</v>
      </c>
      <c r="Q61" s="3">
        <f t="shared" si="9"/>
        <v>13.599999999999998</v>
      </c>
      <c r="R61" s="3">
        <f>R60+1</f>
        <v>18.600000000000001</v>
      </c>
      <c r="S61" s="3">
        <f>S60+0.8</f>
        <v>14.399999999999999</v>
      </c>
    </row>
    <row r="62" spans="1:19" ht="15.75" x14ac:dyDescent="0.25">
      <c r="A62" s="2" t="s">
        <v>20</v>
      </c>
      <c r="B62" s="2" t="s">
        <v>27</v>
      </c>
      <c r="C62" s="4">
        <v>59</v>
      </c>
      <c r="D62" s="2">
        <v>50</v>
      </c>
      <c r="E62" s="2">
        <v>0</v>
      </c>
      <c r="F62" s="2">
        <v>30</v>
      </c>
      <c r="H62" s="2">
        <v>0.5</v>
      </c>
      <c r="P62" s="3">
        <f t="shared" ref="P62:P66" si="15">R61</f>
        <v>18.600000000000001</v>
      </c>
      <c r="Q62" s="3">
        <f t="shared" ref="Q62:Q66" si="16">S61</f>
        <v>14.399999999999999</v>
      </c>
      <c r="R62" s="3">
        <f t="shared" ref="R62:R65" si="17">R61+1</f>
        <v>19.600000000000001</v>
      </c>
      <c r="S62" s="3">
        <f t="shared" ref="S62:S65" si="18">S61+0.8</f>
        <v>15.2</v>
      </c>
    </row>
    <row r="63" spans="1:19" ht="15.75" x14ac:dyDescent="0.25">
      <c r="A63" s="2" t="s">
        <v>20</v>
      </c>
      <c r="B63" s="2" t="s">
        <v>27</v>
      </c>
      <c r="C63" s="2">
        <v>60</v>
      </c>
      <c r="D63" s="2">
        <v>50</v>
      </c>
      <c r="E63" s="2">
        <v>0</v>
      </c>
      <c r="F63" s="2">
        <v>30</v>
      </c>
      <c r="H63" s="2">
        <v>0.5</v>
      </c>
      <c r="P63" s="3">
        <f t="shared" si="15"/>
        <v>19.600000000000001</v>
      </c>
      <c r="Q63" s="3">
        <f t="shared" si="16"/>
        <v>15.2</v>
      </c>
      <c r="R63" s="3">
        <f t="shared" si="17"/>
        <v>20.6</v>
      </c>
      <c r="S63" s="3">
        <f t="shared" si="18"/>
        <v>16</v>
      </c>
    </row>
    <row r="64" spans="1:19" ht="15.75" x14ac:dyDescent="0.25">
      <c r="A64" s="2" t="s">
        <v>20</v>
      </c>
      <c r="B64" s="2" t="s">
        <v>27</v>
      </c>
      <c r="C64" s="2">
        <v>61</v>
      </c>
      <c r="D64" s="2">
        <v>50</v>
      </c>
      <c r="E64" s="2">
        <v>0</v>
      </c>
      <c r="F64" s="2">
        <v>30</v>
      </c>
      <c r="H64" s="2">
        <v>0.5</v>
      </c>
      <c r="P64" s="3">
        <f t="shared" si="15"/>
        <v>20.6</v>
      </c>
      <c r="Q64" s="3">
        <f t="shared" si="16"/>
        <v>16</v>
      </c>
      <c r="R64" s="3">
        <f t="shared" si="17"/>
        <v>21.6</v>
      </c>
      <c r="S64" s="3">
        <f t="shared" si="18"/>
        <v>16.8</v>
      </c>
    </row>
    <row r="65" spans="1:19" ht="15.75" x14ac:dyDescent="0.25">
      <c r="A65" s="2" t="s">
        <v>20</v>
      </c>
      <c r="B65" s="2" t="s">
        <v>27</v>
      </c>
      <c r="C65" s="4">
        <v>62</v>
      </c>
      <c r="D65" s="2">
        <v>50</v>
      </c>
      <c r="E65" s="2">
        <v>0</v>
      </c>
      <c r="F65" s="2">
        <v>30</v>
      </c>
      <c r="H65" s="2">
        <v>0.5</v>
      </c>
      <c r="J65" s="3">
        <v>0</v>
      </c>
      <c r="K65" s="3">
        <v>63</v>
      </c>
      <c r="P65" s="3">
        <f t="shared" si="15"/>
        <v>21.6</v>
      </c>
      <c r="Q65" s="3">
        <f t="shared" si="16"/>
        <v>16.8</v>
      </c>
      <c r="R65" s="3">
        <f t="shared" si="17"/>
        <v>22.6</v>
      </c>
      <c r="S65" s="3">
        <f t="shared" si="18"/>
        <v>17.600000000000001</v>
      </c>
    </row>
    <row r="66" spans="1:19" ht="15.75" x14ac:dyDescent="0.25">
      <c r="A66" s="2" t="s">
        <v>20</v>
      </c>
      <c r="B66" s="2" t="s">
        <v>28</v>
      </c>
      <c r="C66" s="2">
        <v>63</v>
      </c>
      <c r="D66" s="2">
        <v>100</v>
      </c>
      <c r="E66" s="2">
        <v>0</v>
      </c>
      <c r="F66" s="2">
        <v>70</v>
      </c>
      <c r="H66" s="2">
        <v>0.5</v>
      </c>
      <c r="P66" s="3">
        <f t="shared" si="15"/>
        <v>22.6</v>
      </c>
      <c r="Q66" s="3">
        <f t="shared" si="16"/>
        <v>17.600000000000001</v>
      </c>
      <c r="R66" s="3">
        <f>R65</f>
        <v>22.6</v>
      </c>
      <c r="S66" s="3">
        <f>S65+1</f>
        <v>18.600000000000001</v>
      </c>
    </row>
    <row r="67" spans="1:19" ht="15.75" x14ac:dyDescent="0.25">
      <c r="A67" s="2" t="s">
        <v>20</v>
      </c>
      <c r="B67" s="2" t="s">
        <v>28</v>
      </c>
      <c r="C67" s="2">
        <v>64</v>
      </c>
      <c r="D67" s="2">
        <v>100</v>
      </c>
      <c r="E67" s="2">
        <v>0</v>
      </c>
      <c r="F67" s="2">
        <v>70</v>
      </c>
      <c r="H67" s="2">
        <v>0.5</v>
      </c>
      <c r="P67" s="3">
        <f t="shared" ref="P67:P130" si="19">R66</f>
        <v>22.6</v>
      </c>
      <c r="Q67" s="3">
        <f t="shared" ref="Q67:Q130" si="20">S66</f>
        <v>18.600000000000001</v>
      </c>
      <c r="R67" s="3">
        <f t="shared" ref="R67:R71" si="21">R66</f>
        <v>22.6</v>
      </c>
      <c r="S67" s="3">
        <f>S66+1</f>
        <v>19.600000000000001</v>
      </c>
    </row>
    <row r="68" spans="1:19" ht="15.75" x14ac:dyDescent="0.25">
      <c r="A68" s="2" t="s">
        <v>20</v>
      </c>
      <c r="B68" s="2" t="s">
        <v>28</v>
      </c>
      <c r="C68" s="4">
        <v>65</v>
      </c>
      <c r="D68" s="2">
        <v>200</v>
      </c>
      <c r="E68" s="2">
        <v>0</v>
      </c>
      <c r="F68" s="2">
        <v>70</v>
      </c>
      <c r="H68" s="2">
        <v>0.5</v>
      </c>
      <c r="M68" s="3" t="s">
        <v>50</v>
      </c>
      <c r="N68" s="3" t="s">
        <v>35</v>
      </c>
      <c r="P68" s="3">
        <f t="shared" si="19"/>
        <v>22.6</v>
      </c>
      <c r="Q68" s="3">
        <f t="shared" si="20"/>
        <v>19.600000000000001</v>
      </c>
      <c r="R68" s="3">
        <f t="shared" si="21"/>
        <v>22.6</v>
      </c>
      <c r="S68" s="3">
        <f>S65+4.2</f>
        <v>21.8</v>
      </c>
    </row>
    <row r="69" spans="1:19" ht="15.75" x14ac:dyDescent="0.25">
      <c r="A69" s="2" t="s">
        <v>20</v>
      </c>
      <c r="B69" s="2" t="s">
        <v>28</v>
      </c>
      <c r="C69" s="2">
        <v>66</v>
      </c>
      <c r="D69" s="2">
        <v>200</v>
      </c>
      <c r="E69" s="2">
        <v>0</v>
      </c>
      <c r="F69" s="2">
        <v>70</v>
      </c>
      <c r="H69" s="2">
        <v>0.5</v>
      </c>
      <c r="P69" s="3">
        <f t="shared" si="19"/>
        <v>22.6</v>
      </c>
      <c r="Q69" s="3">
        <f t="shared" si="20"/>
        <v>21.8</v>
      </c>
      <c r="R69" s="3">
        <f t="shared" si="21"/>
        <v>22.6</v>
      </c>
      <c r="S69" s="3">
        <f>S68+2.2</f>
        <v>24</v>
      </c>
    </row>
    <row r="70" spans="1:19" ht="15.75" x14ac:dyDescent="0.25">
      <c r="A70" s="2" t="s">
        <v>20</v>
      </c>
      <c r="B70" s="2" t="s">
        <v>28</v>
      </c>
      <c r="C70" s="2">
        <v>67</v>
      </c>
      <c r="D70" s="2">
        <v>100</v>
      </c>
      <c r="E70" s="2">
        <v>0</v>
      </c>
      <c r="F70" s="2">
        <v>40</v>
      </c>
      <c r="H70" s="2">
        <v>0.5</v>
      </c>
      <c r="P70" s="3">
        <f t="shared" si="19"/>
        <v>22.6</v>
      </c>
      <c r="Q70" s="3">
        <f t="shared" si="20"/>
        <v>24</v>
      </c>
      <c r="R70" s="3">
        <f t="shared" si="21"/>
        <v>22.6</v>
      </c>
      <c r="S70" s="3">
        <f>S69+1</f>
        <v>25</v>
      </c>
    </row>
    <row r="71" spans="1:19" ht="15.75" x14ac:dyDescent="0.25">
      <c r="A71" s="2" t="s">
        <v>20</v>
      </c>
      <c r="B71" s="2" t="s">
        <v>28</v>
      </c>
      <c r="C71" s="4">
        <v>68</v>
      </c>
      <c r="D71" s="2">
        <v>100</v>
      </c>
      <c r="E71" s="2">
        <v>0</v>
      </c>
      <c r="F71" s="2">
        <v>40</v>
      </c>
      <c r="H71" s="2">
        <v>0.5</v>
      </c>
      <c r="P71" s="3">
        <f t="shared" si="19"/>
        <v>22.6</v>
      </c>
      <c r="Q71" s="3">
        <f t="shared" si="20"/>
        <v>25</v>
      </c>
      <c r="R71" s="3">
        <f t="shared" si="21"/>
        <v>22.6</v>
      </c>
      <c r="S71" s="3">
        <f>S68+4.2</f>
        <v>26</v>
      </c>
    </row>
    <row r="72" spans="1:19" ht="15.75" x14ac:dyDescent="0.25">
      <c r="A72" s="2" t="s">
        <v>20</v>
      </c>
      <c r="B72" s="2" t="s">
        <v>29</v>
      </c>
      <c r="C72" s="2">
        <v>69</v>
      </c>
      <c r="D72" s="2">
        <v>100</v>
      </c>
      <c r="E72" s="2">
        <v>0</v>
      </c>
      <c r="F72" s="2">
        <v>40</v>
      </c>
      <c r="H72" s="2">
        <v>0.5</v>
      </c>
      <c r="P72" s="3">
        <f t="shared" si="19"/>
        <v>22.6</v>
      </c>
      <c r="Q72" s="3">
        <f t="shared" si="20"/>
        <v>26</v>
      </c>
      <c r="R72" s="3">
        <f>R71-0.7</f>
        <v>21.900000000000002</v>
      </c>
      <c r="S72" s="3">
        <f>S71+1</f>
        <v>27</v>
      </c>
    </row>
    <row r="73" spans="1:19" ht="15.75" x14ac:dyDescent="0.25">
      <c r="A73" s="2" t="s">
        <v>20</v>
      </c>
      <c r="B73" s="2" t="s">
        <v>29</v>
      </c>
      <c r="C73" s="2">
        <v>70</v>
      </c>
      <c r="D73" s="2">
        <v>100</v>
      </c>
      <c r="E73" s="2">
        <v>0</v>
      </c>
      <c r="F73" s="2">
        <v>40</v>
      </c>
      <c r="H73" s="2">
        <v>0.5</v>
      </c>
      <c r="P73" s="3">
        <f t="shared" si="19"/>
        <v>21.900000000000002</v>
      </c>
      <c r="Q73" s="3">
        <f t="shared" si="20"/>
        <v>27</v>
      </c>
      <c r="R73" s="3">
        <f t="shared" ref="R73:R76" si="22">R72-0.7</f>
        <v>21.200000000000003</v>
      </c>
      <c r="S73" s="3">
        <f t="shared" ref="S73:S76" si="23">S72+1</f>
        <v>28</v>
      </c>
    </row>
    <row r="74" spans="1:19" ht="15.75" x14ac:dyDescent="0.25">
      <c r="A74" s="2" t="s">
        <v>20</v>
      </c>
      <c r="B74" s="2" t="s">
        <v>29</v>
      </c>
      <c r="C74" s="4">
        <v>71</v>
      </c>
      <c r="D74" s="2">
        <v>100</v>
      </c>
      <c r="E74" s="2">
        <v>0</v>
      </c>
      <c r="F74" s="2">
        <v>40</v>
      </c>
      <c r="H74" s="2">
        <v>0.5</v>
      </c>
      <c r="P74" s="3">
        <f t="shared" si="19"/>
        <v>21.200000000000003</v>
      </c>
      <c r="Q74" s="3">
        <f t="shared" si="20"/>
        <v>28</v>
      </c>
      <c r="R74" s="3">
        <f t="shared" si="22"/>
        <v>20.500000000000004</v>
      </c>
      <c r="S74" s="3">
        <f t="shared" si="23"/>
        <v>29</v>
      </c>
    </row>
    <row r="75" spans="1:19" ht="15.75" x14ac:dyDescent="0.25">
      <c r="A75" s="2" t="s">
        <v>20</v>
      </c>
      <c r="B75" s="2" t="s">
        <v>29</v>
      </c>
      <c r="C75" s="2">
        <v>72</v>
      </c>
      <c r="D75" s="2">
        <v>100</v>
      </c>
      <c r="E75" s="2">
        <v>0</v>
      </c>
      <c r="F75" s="2">
        <v>40</v>
      </c>
      <c r="H75" s="2">
        <v>0.5</v>
      </c>
      <c r="L75" s="3" t="s">
        <v>68</v>
      </c>
      <c r="P75" s="3">
        <f t="shared" si="19"/>
        <v>20.500000000000004</v>
      </c>
      <c r="Q75" s="3">
        <f t="shared" si="20"/>
        <v>29</v>
      </c>
      <c r="R75" s="3">
        <f t="shared" si="22"/>
        <v>19.800000000000004</v>
      </c>
      <c r="S75" s="3">
        <f t="shared" si="23"/>
        <v>30</v>
      </c>
    </row>
    <row r="76" spans="1:19" ht="15.75" x14ac:dyDescent="0.25">
      <c r="A76" s="2" t="s">
        <v>20</v>
      </c>
      <c r="B76" s="2" t="s">
        <v>29</v>
      </c>
      <c r="C76" s="2">
        <v>73</v>
      </c>
      <c r="D76" s="2">
        <v>100</v>
      </c>
      <c r="E76" s="2">
        <v>0</v>
      </c>
      <c r="F76" s="2">
        <v>40</v>
      </c>
      <c r="H76" s="2">
        <v>0.5</v>
      </c>
      <c r="M76" s="3" t="s">
        <v>51</v>
      </c>
      <c r="N76" s="3" t="s">
        <v>35</v>
      </c>
      <c r="P76" s="3">
        <f t="shared" si="19"/>
        <v>19.800000000000004</v>
      </c>
      <c r="Q76" s="3">
        <f t="shared" si="20"/>
        <v>30</v>
      </c>
      <c r="R76" s="3">
        <f t="shared" si="22"/>
        <v>19.100000000000005</v>
      </c>
      <c r="S76" s="3">
        <f t="shared" si="23"/>
        <v>31</v>
      </c>
    </row>
    <row r="77" spans="1:19" ht="15.75" x14ac:dyDescent="0.25">
      <c r="A77" s="2" t="s">
        <v>20</v>
      </c>
      <c r="B77" s="2" t="s">
        <v>30</v>
      </c>
      <c r="C77" s="4">
        <v>74</v>
      </c>
      <c r="D77" s="2">
        <v>100</v>
      </c>
      <c r="E77" s="2">
        <v>0</v>
      </c>
      <c r="F77" s="2">
        <v>40</v>
      </c>
      <c r="G77" s="3" t="s">
        <v>3</v>
      </c>
      <c r="H77" s="2">
        <v>0.5</v>
      </c>
      <c r="L77" s="3" t="s">
        <v>68</v>
      </c>
      <c r="P77" s="3">
        <f t="shared" si="19"/>
        <v>19.100000000000005</v>
      </c>
      <c r="Q77" s="3">
        <f t="shared" si="20"/>
        <v>31</v>
      </c>
      <c r="R77" s="3">
        <f>R76-2.2</f>
        <v>16.900000000000006</v>
      </c>
      <c r="S77" s="3">
        <f>S76</f>
        <v>31</v>
      </c>
    </row>
    <row r="78" spans="1:19" ht="15.75" x14ac:dyDescent="0.25">
      <c r="A78" s="2" t="s">
        <v>20</v>
      </c>
      <c r="B78" s="2" t="s">
        <v>30</v>
      </c>
      <c r="C78" s="2">
        <v>75</v>
      </c>
      <c r="D78" s="2">
        <v>100</v>
      </c>
      <c r="E78" s="2">
        <v>0</v>
      </c>
      <c r="F78" s="2">
        <v>40</v>
      </c>
      <c r="G78" s="3" t="s">
        <v>3</v>
      </c>
      <c r="H78" s="2">
        <v>0.5</v>
      </c>
      <c r="P78" s="3">
        <f t="shared" si="19"/>
        <v>16.900000000000006</v>
      </c>
      <c r="Q78" s="3">
        <f t="shared" si="20"/>
        <v>31</v>
      </c>
      <c r="R78" s="3">
        <f t="shared" ref="R78:R79" si="24">R77-2.2</f>
        <v>14.700000000000006</v>
      </c>
      <c r="S78" s="3">
        <f t="shared" ref="S78:S79" si="25">S77</f>
        <v>31</v>
      </c>
    </row>
    <row r="79" spans="1:19" ht="15.75" x14ac:dyDescent="0.25">
      <c r="A79" s="2" t="s">
        <v>20</v>
      </c>
      <c r="B79" s="2" t="s">
        <v>30</v>
      </c>
      <c r="C79" s="2">
        <v>76</v>
      </c>
      <c r="D79" s="2">
        <v>100</v>
      </c>
      <c r="E79" s="2">
        <v>0</v>
      </c>
      <c r="F79" s="2">
        <v>40</v>
      </c>
      <c r="G79" s="3" t="s">
        <v>3</v>
      </c>
      <c r="H79" s="2">
        <v>0.5</v>
      </c>
      <c r="L79" s="3" t="s">
        <v>69</v>
      </c>
      <c r="P79" s="3">
        <f t="shared" si="19"/>
        <v>14.700000000000006</v>
      </c>
      <c r="Q79" s="3">
        <f t="shared" si="20"/>
        <v>31</v>
      </c>
      <c r="R79" s="3">
        <f t="shared" si="24"/>
        <v>12.500000000000007</v>
      </c>
      <c r="S79" s="3">
        <f t="shared" si="25"/>
        <v>31</v>
      </c>
    </row>
    <row r="80" spans="1:19" ht="15.75" x14ac:dyDescent="0.25">
      <c r="A80" s="2" t="s">
        <v>20</v>
      </c>
      <c r="B80" s="2" t="s">
        <v>31</v>
      </c>
      <c r="C80" s="2">
        <v>77</v>
      </c>
      <c r="D80" s="2">
        <v>300</v>
      </c>
      <c r="E80" s="2">
        <v>0</v>
      </c>
      <c r="F80" s="2">
        <v>70</v>
      </c>
      <c r="G80" s="3" t="s">
        <v>3</v>
      </c>
      <c r="H80" s="2">
        <v>0.5</v>
      </c>
      <c r="J80" s="3">
        <v>76</v>
      </c>
      <c r="K80" s="3">
        <v>101</v>
      </c>
      <c r="M80" s="3" t="s">
        <v>52</v>
      </c>
      <c r="N80" s="3" t="s">
        <v>17</v>
      </c>
      <c r="P80" s="3">
        <f t="shared" si="19"/>
        <v>12.500000000000007</v>
      </c>
      <c r="Q80" s="3">
        <f t="shared" si="20"/>
        <v>31</v>
      </c>
      <c r="R80" s="3">
        <f>R79-0.6</f>
        <v>11.900000000000007</v>
      </c>
      <c r="S80" s="3">
        <f>S79</f>
        <v>31</v>
      </c>
    </row>
    <row r="81" spans="1:19" ht="15.75" x14ac:dyDescent="0.25">
      <c r="A81" s="2" t="s">
        <v>20</v>
      </c>
      <c r="B81" s="2" t="s">
        <v>31</v>
      </c>
      <c r="C81" s="4">
        <v>78</v>
      </c>
      <c r="D81" s="2">
        <v>300</v>
      </c>
      <c r="E81" s="2">
        <v>0</v>
      </c>
      <c r="F81" s="2">
        <v>70</v>
      </c>
      <c r="G81" s="3" t="s">
        <v>3</v>
      </c>
      <c r="H81" s="2">
        <v>0.5</v>
      </c>
      <c r="L81" s="3" t="s">
        <v>69</v>
      </c>
      <c r="P81" s="3">
        <f t="shared" si="19"/>
        <v>11.900000000000007</v>
      </c>
      <c r="Q81" s="3">
        <f t="shared" si="20"/>
        <v>31</v>
      </c>
      <c r="R81" s="3">
        <f t="shared" ref="R81:R87" si="26">R80-0.6</f>
        <v>11.300000000000008</v>
      </c>
      <c r="S81" s="3">
        <f t="shared" ref="S81:S88" si="27">S80</f>
        <v>31</v>
      </c>
    </row>
    <row r="82" spans="1:19" ht="15.75" x14ac:dyDescent="0.25">
      <c r="A82" s="2" t="s">
        <v>20</v>
      </c>
      <c r="B82" s="2" t="s">
        <v>31</v>
      </c>
      <c r="C82" s="2">
        <v>79</v>
      </c>
      <c r="D82" s="2">
        <v>300</v>
      </c>
      <c r="E82" s="2">
        <v>0</v>
      </c>
      <c r="F82" s="2">
        <v>70</v>
      </c>
      <c r="G82" s="3" t="s">
        <v>3</v>
      </c>
      <c r="H82" s="2">
        <v>0.5</v>
      </c>
      <c r="P82" s="3">
        <f t="shared" si="19"/>
        <v>11.300000000000008</v>
      </c>
      <c r="Q82" s="3">
        <f t="shared" si="20"/>
        <v>31</v>
      </c>
      <c r="R82" s="3">
        <f t="shared" si="26"/>
        <v>10.700000000000008</v>
      </c>
      <c r="S82" s="3">
        <f t="shared" si="27"/>
        <v>31</v>
      </c>
    </row>
    <row r="83" spans="1:19" ht="15.75" x14ac:dyDescent="0.25">
      <c r="A83" s="2" t="s">
        <v>20</v>
      </c>
      <c r="B83" s="2" t="s">
        <v>31</v>
      </c>
      <c r="C83" s="2">
        <v>80</v>
      </c>
      <c r="D83" s="2">
        <v>300</v>
      </c>
      <c r="E83" s="2">
        <v>0</v>
      </c>
      <c r="F83" s="2">
        <v>70</v>
      </c>
      <c r="G83" s="3" t="s">
        <v>3</v>
      </c>
      <c r="H83" s="2">
        <v>0.5</v>
      </c>
      <c r="P83" s="3">
        <f t="shared" si="19"/>
        <v>10.700000000000008</v>
      </c>
      <c r="Q83" s="3">
        <f t="shared" si="20"/>
        <v>31</v>
      </c>
      <c r="R83" s="3">
        <f t="shared" si="26"/>
        <v>10.100000000000009</v>
      </c>
      <c r="S83" s="3">
        <f t="shared" si="27"/>
        <v>31</v>
      </c>
    </row>
    <row r="84" spans="1:19" ht="15.75" x14ac:dyDescent="0.25">
      <c r="A84" s="2" t="s">
        <v>20</v>
      </c>
      <c r="B84" s="2" t="s">
        <v>31</v>
      </c>
      <c r="C84" s="2">
        <v>81</v>
      </c>
      <c r="D84" s="2">
        <v>300</v>
      </c>
      <c r="E84" s="2">
        <v>0</v>
      </c>
      <c r="F84" s="2">
        <v>70</v>
      </c>
      <c r="G84" s="3" t="s">
        <v>3</v>
      </c>
      <c r="H84" s="2">
        <v>0.5</v>
      </c>
      <c r="P84" s="3">
        <f t="shared" si="19"/>
        <v>10.100000000000009</v>
      </c>
      <c r="Q84" s="3">
        <f t="shared" si="20"/>
        <v>31</v>
      </c>
      <c r="R84" s="3">
        <f t="shared" si="26"/>
        <v>9.5000000000000089</v>
      </c>
      <c r="S84" s="3">
        <f t="shared" si="27"/>
        <v>31</v>
      </c>
    </row>
    <row r="85" spans="1:19" ht="15.75" x14ac:dyDescent="0.25">
      <c r="A85" s="2" t="s">
        <v>20</v>
      </c>
      <c r="B85" s="2" t="s">
        <v>31</v>
      </c>
      <c r="C85" s="4">
        <v>82</v>
      </c>
      <c r="D85" s="2">
        <v>300</v>
      </c>
      <c r="E85" s="2">
        <v>0</v>
      </c>
      <c r="F85" s="2">
        <v>70</v>
      </c>
      <c r="G85" s="3" t="s">
        <v>3</v>
      </c>
      <c r="H85" s="2">
        <v>0.5</v>
      </c>
      <c r="P85" s="3">
        <f t="shared" si="19"/>
        <v>9.5000000000000089</v>
      </c>
      <c r="Q85" s="3">
        <f t="shared" si="20"/>
        <v>31</v>
      </c>
      <c r="R85" s="3">
        <f t="shared" si="26"/>
        <v>8.9000000000000092</v>
      </c>
      <c r="S85" s="3">
        <f t="shared" si="27"/>
        <v>31</v>
      </c>
    </row>
    <row r="86" spans="1:19" ht="15.75" x14ac:dyDescent="0.25">
      <c r="A86" s="2" t="s">
        <v>20</v>
      </c>
      <c r="B86" s="2" t="s">
        <v>31</v>
      </c>
      <c r="C86" s="2">
        <v>83</v>
      </c>
      <c r="D86" s="2">
        <v>300</v>
      </c>
      <c r="E86" s="2">
        <v>0</v>
      </c>
      <c r="F86" s="2">
        <v>70</v>
      </c>
      <c r="G86" s="3" t="s">
        <v>3</v>
      </c>
      <c r="H86" s="2">
        <v>0.5</v>
      </c>
      <c r="P86" s="3">
        <f t="shared" si="19"/>
        <v>8.9000000000000092</v>
      </c>
      <c r="Q86" s="3">
        <f t="shared" si="20"/>
        <v>31</v>
      </c>
      <c r="R86" s="3">
        <f t="shared" si="26"/>
        <v>8.3000000000000096</v>
      </c>
      <c r="S86" s="3">
        <f t="shared" si="27"/>
        <v>31</v>
      </c>
    </row>
    <row r="87" spans="1:19" ht="15.75" x14ac:dyDescent="0.25">
      <c r="A87" s="2" t="s">
        <v>20</v>
      </c>
      <c r="B87" s="2" t="s">
        <v>31</v>
      </c>
      <c r="C87" s="2">
        <v>84</v>
      </c>
      <c r="D87" s="2">
        <v>300</v>
      </c>
      <c r="E87" s="2">
        <v>0</v>
      </c>
      <c r="F87" s="2">
        <v>70</v>
      </c>
      <c r="G87" s="3" t="s">
        <v>3</v>
      </c>
      <c r="H87" s="2">
        <v>0.5</v>
      </c>
      <c r="P87" s="3">
        <f t="shared" si="19"/>
        <v>8.3000000000000096</v>
      </c>
      <c r="Q87" s="3">
        <f t="shared" si="20"/>
        <v>31</v>
      </c>
      <c r="R87" s="3">
        <f t="shared" si="26"/>
        <v>7.7000000000000099</v>
      </c>
      <c r="S87" s="3">
        <f t="shared" si="27"/>
        <v>31</v>
      </c>
    </row>
    <row r="88" spans="1:19" ht="15.75" x14ac:dyDescent="0.25">
      <c r="A88" s="2" t="s">
        <v>20</v>
      </c>
      <c r="B88" s="2" t="s">
        <v>31</v>
      </c>
      <c r="C88" s="2">
        <v>85</v>
      </c>
      <c r="D88" s="2">
        <v>300</v>
      </c>
      <c r="E88" s="2">
        <v>0</v>
      </c>
      <c r="F88" s="2">
        <v>70</v>
      </c>
      <c r="G88" s="3" t="s">
        <v>3</v>
      </c>
      <c r="H88" s="2">
        <v>0.5</v>
      </c>
      <c r="J88" s="3">
        <v>86</v>
      </c>
      <c r="K88" s="3">
        <v>100</v>
      </c>
      <c r="P88" s="3">
        <f t="shared" si="19"/>
        <v>7.7000000000000099</v>
      </c>
      <c r="Q88" s="3">
        <f t="shared" si="20"/>
        <v>31</v>
      </c>
      <c r="R88" s="3">
        <f>R87-0.6</f>
        <v>7.1000000000000103</v>
      </c>
      <c r="S88" s="3">
        <f t="shared" si="27"/>
        <v>31</v>
      </c>
    </row>
    <row r="89" spans="1:19" ht="15.75" x14ac:dyDescent="0.25">
      <c r="A89" s="2" t="s">
        <v>20</v>
      </c>
      <c r="B89" s="2" t="s">
        <v>32</v>
      </c>
      <c r="C89" s="4">
        <v>86</v>
      </c>
      <c r="D89" s="2">
        <v>100</v>
      </c>
      <c r="E89" s="2">
        <v>0</v>
      </c>
      <c r="F89" s="2">
        <v>25</v>
      </c>
      <c r="G89" s="3" t="s">
        <v>3</v>
      </c>
      <c r="H89" s="2">
        <v>0.5</v>
      </c>
      <c r="P89" s="3">
        <f>R88</f>
        <v>7.1000000000000103</v>
      </c>
      <c r="Q89" s="3">
        <f t="shared" si="20"/>
        <v>31</v>
      </c>
      <c r="R89" s="3">
        <f>R88-1.2</f>
        <v>5.9000000000000101</v>
      </c>
      <c r="S89" s="3">
        <f>S88</f>
        <v>31</v>
      </c>
    </row>
    <row r="90" spans="1:19" ht="15.75" x14ac:dyDescent="0.25">
      <c r="A90" s="2" t="s">
        <v>20</v>
      </c>
      <c r="B90" s="2" t="s">
        <v>32</v>
      </c>
      <c r="C90" s="2">
        <v>87</v>
      </c>
      <c r="D90" s="2">
        <v>86.6</v>
      </c>
      <c r="E90" s="2">
        <v>0</v>
      </c>
      <c r="F90" s="2">
        <v>25</v>
      </c>
      <c r="G90" s="3" t="s">
        <v>3</v>
      </c>
      <c r="H90" s="2">
        <v>0.5</v>
      </c>
      <c r="L90" s="3" t="s">
        <v>70</v>
      </c>
      <c r="P90" s="3">
        <f>R89</f>
        <v>5.9000000000000101</v>
      </c>
      <c r="Q90" s="3">
        <f t="shared" si="20"/>
        <v>31</v>
      </c>
      <c r="R90" s="3">
        <f t="shared" ref="R90:R91" si="28">R89-1.2</f>
        <v>4.7000000000000099</v>
      </c>
      <c r="S90" s="3">
        <f t="shared" ref="S90:S91" si="29">S89</f>
        <v>31</v>
      </c>
    </row>
    <row r="91" spans="1:19" ht="15.75" x14ac:dyDescent="0.25">
      <c r="A91" s="2" t="s">
        <v>20</v>
      </c>
      <c r="B91" s="2" t="s">
        <v>32</v>
      </c>
      <c r="C91" s="2">
        <v>88</v>
      </c>
      <c r="D91" s="2">
        <v>100</v>
      </c>
      <c r="E91" s="2">
        <v>0</v>
      </c>
      <c r="F91" s="2">
        <v>25</v>
      </c>
      <c r="G91" s="3" t="s">
        <v>3</v>
      </c>
      <c r="H91" s="2">
        <v>0.5</v>
      </c>
      <c r="M91" s="3" t="s">
        <v>53</v>
      </c>
      <c r="N91" s="3" t="s">
        <v>29</v>
      </c>
      <c r="P91" s="3">
        <f t="shared" si="19"/>
        <v>4.7000000000000099</v>
      </c>
      <c r="Q91" s="3">
        <f t="shared" si="20"/>
        <v>31</v>
      </c>
      <c r="R91" s="3">
        <f t="shared" si="28"/>
        <v>3.5000000000000098</v>
      </c>
      <c r="S91" s="3">
        <f t="shared" si="29"/>
        <v>31</v>
      </c>
    </row>
    <row r="92" spans="1:19" ht="15.75" x14ac:dyDescent="0.25">
      <c r="A92" s="2" t="s">
        <v>20</v>
      </c>
      <c r="B92" s="2" t="s">
        <v>33</v>
      </c>
      <c r="C92" s="2">
        <v>89</v>
      </c>
      <c r="D92" s="2">
        <v>75</v>
      </c>
      <c r="E92" s="2">
        <v>-0.5</v>
      </c>
      <c r="F92" s="2">
        <v>25</v>
      </c>
      <c r="H92" s="2">
        <v>0.125</v>
      </c>
      <c r="L92" s="3" t="s">
        <v>70</v>
      </c>
      <c r="P92" s="3">
        <f t="shared" si="19"/>
        <v>3.5000000000000098</v>
      </c>
      <c r="Q92" s="3">
        <f t="shared" si="20"/>
        <v>31</v>
      </c>
      <c r="R92" s="3">
        <f>R91-0.5</f>
        <v>3.0000000000000098</v>
      </c>
      <c r="S92" s="3">
        <f>S91-0.8</f>
        <v>30.2</v>
      </c>
    </row>
    <row r="93" spans="1:19" ht="15.75" x14ac:dyDescent="0.25">
      <c r="A93" s="2" t="s">
        <v>20</v>
      </c>
      <c r="B93" s="2" t="s">
        <v>33</v>
      </c>
      <c r="C93" s="4">
        <v>90</v>
      </c>
      <c r="D93" s="2">
        <v>75</v>
      </c>
      <c r="E93" s="2">
        <v>-1</v>
      </c>
      <c r="F93" s="2">
        <v>25</v>
      </c>
      <c r="H93" s="2">
        <v>-0.625</v>
      </c>
      <c r="P93" s="3">
        <f t="shared" si="19"/>
        <v>3.0000000000000098</v>
      </c>
      <c r="Q93" s="3">
        <f t="shared" si="20"/>
        <v>30.2</v>
      </c>
      <c r="R93" s="3">
        <f t="shared" ref="R93:R94" si="30">R92-0.5</f>
        <v>2.5000000000000098</v>
      </c>
      <c r="S93" s="3">
        <f t="shared" ref="S93:S97" si="31">S92-0.8</f>
        <v>29.4</v>
      </c>
    </row>
    <row r="94" spans="1:19" ht="15.75" x14ac:dyDescent="0.25">
      <c r="A94" s="2" t="s">
        <v>20</v>
      </c>
      <c r="B94" s="2" t="s">
        <v>33</v>
      </c>
      <c r="C94" s="2">
        <v>91</v>
      </c>
      <c r="D94" s="2">
        <v>75</v>
      </c>
      <c r="E94" s="2">
        <v>-2</v>
      </c>
      <c r="F94" s="2">
        <v>25</v>
      </c>
      <c r="H94" s="2">
        <v>-2.125</v>
      </c>
      <c r="P94" s="3">
        <f t="shared" si="19"/>
        <v>2.5000000000000098</v>
      </c>
      <c r="Q94" s="3">
        <f t="shared" si="20"/>
        <v>29.4</v>
      </c>
      <c r="R94" s="3">
        <f t="shared" si="30"/>
        <v>2.0000000000000098</v>
      </c>
      <c r="S94" s="3">
        <f t="shared" si="31"/>
        <v>28.599999999999998</v>
      </c>
    </row>
    <row r="95" spans="1:19" ht="15.75" x14ac:dyDescent="0.25">
      <c r="A95" s="2" t="s">
        <v>20</v>
      </c>
      <c r="B95" s="2" t="s">
        <v>33</v>
      </c>
      <c r="C95" s="2">
        <v>92</v>
      </c>
      <c r="D95" s="2">
        <v>75</v>
      </c>
      <c r="E95" s="2">
        <v>0</v>
      </c>
      <c r="F95" s="2">
        <v>25</v>
      </c>
      <c r="H95" s="2">
        <v>-2.125</v>
      </c>
      <c r="P95" s="3">
        <f t="shared" si="19"/>
        <v>2.0000000000000098</v>
      </c>
      <c r="Q95" s="3">
        <f t="shared" si="20"/>
        <v>28.599999999999998</v>
      </c>
      <c r="R95" s="3">
        <f>R94+0.5</f>
        <v>2.5000000000000098</v>
      </c>
      <c r="S95" s="3">
        <f t="shared" si="31"/>
        <v>27.799999999999997</v>
      </c>
    </row>
    <row r="96" spans="1:19" ht="15.75" x14ac:dyDescent="0.25">
      <c r="A96" s="2" t="s">
        <v>20</v>
      </c>
      <c r="B96" s="2" t="s">
        <v>33</v>
      </c>
      <c r="C96" s="2">
        <v>93</v>
      </c>
      <c r="D96" s="2">
        <v>75</v>
      </c>
      <c r="E96" s="2">
        <v>2</v>
      </c>
      <c r="F96" s="2">
        <v>25</v>
      </c>
      <c r="H96" s="2">
        <v>-0.625</v>
      </c>
      <c r="P96" s="3">
        <f t="shared" si="19"/>
        <v>2.5000000000000098</v>
      </c>
      <c r="Q96" s="3">
        <f t="shared" si="20"/>
        <v>27.799999999999997</v>
      </c>
      <c r="R96" s="3">
        <f t="shared" ref="R96:R100" si="32">R95+0.5</f>
        <v>3.0000000000000098</v>
      </c>
      <c r="S96" s="3">
        <f t="shared" si="31"/>
        <v>26.999999999999996</v>
      </c>
    </row>
    <row r="97" spans="1:19" ht="15.75" x14ac:dyDescent="0.25">
      <c r="A97" s="2" t="s">
        <v>20</v>
      </c>
      <c r="B97" s="2" t="s">
        <v>33</v>
      </c>
      <c r="C97" s="4">
        <v>94</v>
      </c>
      <c r="D97" s="2">
        <v>75</v>
      </c>
      <c r="E97" s="2">
        <v>1</v>
      </c>
      <c r="F97" s="2">
        <v>25</v>
      </c>
      <c r="H97" s="2">
        <v>0.125</v>
      </c>
      <c r="P97" s="3">
        <f t="shared" si="19"/>
        <v>3.0000000000000098</v>
      </c>
      <c r="Q97" s="3">
        <f t="shared" si="20"/>
        <v>26.999999999999996</v>
      </c>
      <c r="R97" s="3">
        <f t="shared" si="32"/>
        <v>3.5000000000000098</v>
      </c>
      <c r="S97" s="3">
        <f t="shared" si="31"/>
        <v>26.199999999999996</v>
      </c>
    </row>
    <row r="98" spans="1:19" ht="15.75" x14ac:dyDescent="0.25">
      <c r="A98" s="2" t="s">
        <v>20</v>
      </c>
      <c r="B98" s="2" t="s">
        <v>33</v>
      </c>
      <c r="C98" s="2">
        <v>95</v>
      </c>
      <c r="D98" s="2">
        <v>75</v>
      </c>
      <c r="E98" s="2">
        <v>0.5</v>
      </c>
      <c r="F98" s="2">
        <v>25</v>
      </c>
      <c r="H98" s="2">
        <v>0.5</v>
      </c>
      <c r="L98" s="3" t="s">
        <v>71</v>
      </c>
      <c r="P98" s="3">
        <f t="shared" si="19"/>
        <v>3.5000000000000098</v>
      </c>
      <c r="Q98" s="3">
        <f t="shared" si="20"/>
        <v>26.199999999999996</v>
      </c>
      <c r="R98" s="3">
        <f t="shared" si="32"/>
        <v>4.0000000000000098</v>
      </c>
      <c r="S98" s="3">
        <f>S97+0.8</f>
        <v>26.999999999999996</v>
      </c>
    </row>
    <row r="99" spans="1:19" ht="15.75" x14ac:dyDescent="0.25">
      <c r="A99" s="2" t="s">
        <v>20</v>
      </c>
      <c r="B99" s="2" t="s">
        <v>33</v>
      </c>
      <c r="C99" s="2">
        <v>96</v>
      </c>
      <c r="D99" s="2">
        <v>75</v>
      </c>
      <c r="E99" s="2">
        <v>0</v>
      </c>
      <c r="F99" s="2">
        <v>25</v>
      </c>
      <c r="H99" s="2">
        <v>0.5</v>
      </c>
      <c r="M99" s="3" t="s">
        <v>54</v>
      </c>
      <c r="N99" s="3" t="s">
        <v>29</v>
      </c>
      <c r="P99" s="3">
        <f t="shared" si="19"/>
        <v>4.0000000000000098</v>
      </c>
      <c r="Q99" s="3">
        <f t="shared" si="20"/>
        <v>26.999999999999996</v>
      </c>
      <c r="R99" s="3">
        <f t="shared" si="32"/>
        <v>4.5000000000000098</v>
      </c>
      <c r="S99" s="3">
        <f t="shared" ref="S99:S100" si="33">S98+0.8</f>
        <v>27.799999999999997</v>
      </c>
    </row>
    <row r="100" spans="1:19" ht="15.75" x14ac:dyDescent="0.25">
      <c r="A100" s="2" t="s">
        <v>20</v>
      </c>
      <c r="B100" s="2" t="s">
        <v>33</v>
      </c>
      <c r="C100" s="2">
        <v>97</v>
      </c>
      <c r="D100" s="2">
        <v>75</v>
      </c>
      <c r="E100" s="2">
        <v>0</v>
      </c>
      <c r="F100" s="2">
        <v>25</v>
      </c>
      <c r="H100" s="2">
        <v>0.5</v>
      </c>
      <c r="L100" s="3" t="s">
        <v>71</v>
      </c>
      <c r="P100" s="3">
        <f t="shared" si="19"/>
        <v>4.5000000000000098</v>
      </c>
      <c r="Q100" s="3">
        <f t="shared" si="20"/>
        <v>27.799999999999997</v>
      </c>
      <c r="R100" s="3">
        <f t="shared" si="32"/>
        <v>5.0000000000000098</v>
      </c>
      <c r="S100" s="3">
        <f t="shared" si="33"/>
        <v>28.599999999999998</v>
      </c>
    </row>
    <row r="101" spans="1:19" ht="15.75" x14ac:dyDescent="0.25">
      <c r="A101" s="2" t="s">
        <v>20</v>
      </c>
      <c r="B101" s="2" t="s">
        <v>34</v>
      </c>
      <c r="C101" s="4">
        <v>98</v>
      </c>
      <c r="D101" s="2">
        <v>75</v>
      </c>
      <c r="E101" s="2">
        <v>0</v>
      </c>
      <c r="F101" s="2">
        <v>25</v>
      </c>
      <c r="H101" s="2">
        <v>0.5</v>
      </c>
      <c r="P101" s="3">
        <f t="shared" si="19"/>
        <v>5.0000000000000098</v>
      </c>
      <c r="Q101" s="3">
        <f t="shared" si="20"/>
        <v>28.599999999999998</v>
      </c>
      <c r="R101" s="3">
        <f>R100+0.7</f>
        <v>5.7000000000000099</v>
      </c>
      <c r="S101" s="3">
        <f>S100+0.8</f>
        <v>29.4</v>
      </c>
    </row>
    <row r="102" spans="1:19" ht="15.75" x14ac:dyDescent="0.25">
      <c r="A102" s="2" t="s">
        <v>20</v>
      </c>
      <c r="B102" s="2" t="s">
        <v>34</v>
      </c>
      <c r="C102" s="2">
        <v>99</v>
      </c>
      <c r="D102" s="2">
        <v>75</v>
      </c>
      <c r="E102" s="2">
        <v>0</v>
      </c>
      <c r="F102" s="2">
        <v>25</v>
      </c>
      <c r="H102" s="2">
        <v>0.5</v>
      </c>
      <c r="P102" s="3">
        <f t="shared" si="19"/>
        <v>5.7000000000000099</v>
      </c>
      <c r="Q102" s="3">
        <f t="shared" si="20"/>
        <v>29.4</v>
      </c>
      <c r="R102" s="3">
        <f t="shared" ref="R102:R103" si="34">R101+0.7</f>
        <v>6.4000000000000101</v>
      </c>
      <c r="S102" s="3">
        <f t="shared" ref="S102:S103" si="35">S101+0.8</f>
        <v>30.2</v>
      </c>
    </row>
    <row r="103" spans="1:19" ht="15.75" x14ac:dyDescent="0.25">
      <c r="A103" s="2" t="s">
        <v>20</v>
      </c>
      <c r="B103" s="2" t="s">
        <v>34</v>
      </c>
      <c r="C103" s="2">
        <v>100</v>
      </c>
      <c r="D103" s="2">
        <v>75</v>
      </c>
      <c r="E103" s="2">
        <v>0</v>
      </c>
      <c r="F103" s="2">
        <v>25</v>
      </c>
      <c r="H103" s="2">
        <v>0.5</v>
      </c>
      <c r="P103" s="3">
        <f t="shared" si="19"/>
        <v>6.4000000000000101</v>
      </c>
      <c r="Q103" s="3">
        <f t="shared" si="20"/>
        <v>30.2</v>
      </c>
      <c r="R103" s="3">
        <f t="shared" si="34"/>
        <v>7.1000000000000103</v>
      </c>
      <c r="S103" s="3">
        <f t="shared" si="35"/>
        <v>31</v>
      </c>
    </row>
    <row r="104" spans="1:19" ht="15.75" x14ac:dyDescent="0.25">
      <c r="A104" s="2" t="s">
        <v>20</v>
      </c>
      <c r="B104" s="2" t="s">
        <v>35</v>
      </c>
      <c r="C104" s="2">
        <v>101</v>
      </c>
      <c r="D104" s="2">
        <v>35</v>
      </c>
      <c r="E104" s="2">
        <v>0</v>
      </c>
      <c r="F104" s="2">
        <v>26</v>
      </c>
      <c r="H104" s="2">
        <v>0.5</v>
      </c>
      <c r="P104" s="3">
        <v>12.500000000000007</v>
      </c>
      <c r="Q104" s="3">
        <v>31</v>
      </c>
      <c r="R104" s="3">
        <v>14</v>
      </c>
      <c r="S104" s="3">
        <v>29</v>
      </c>
    </row>
    <row r="105" spans="1:19" ht="15.75" x14ac:dyDescent="0.25">
      <c r="A105" s="2" t="s">
        <v>20</v>
      </c>
      <c r="B105" s="2" t="s">
        <v>36</v>
      </c>
      <c r="C105" s="4">
        <v>102</v>
      </c>
      <c r="D105" s="2">
        <v>100</v>
      </c>
      <c r="E105" s="2">
        <v>0</v>
      </c>
      <c r="F105" s="2">
        <v>28</v>
      </c>
      <c r="H105" s="2">
        <v>0.5</v>
      </c>
      <c r="P105" s="3">
        <f t="shared" si="19"/>
        <v>14</v>
      </c>
      <c r="Q105" s="3">
        <f t="shared" si="20"/>
        <v>29</v>
      </c>
      <c r="R105" s="3">
        <v>15</v>
      </c>
      <c r="S105" s="3">
        <v>29</v>
      </c>
    </row>
    <row r="106" spans="1:19" ht="15.75" x14ac:dyDescent="0.25">
      <c r="A106" s="2" t="s">
        <v>20</v>
      </c>
      <c r="B106" s="2" t="s">
        <v>36</v>
      </c>
      <c r="C106" s="2">
        <v>103</v>
      </c>
      <c r="D106" s="2">
        <v>100</v>
      </c>
      <c r="E106" s="2">
        <v>0</v>
      </c>
      <c r="F106" s="2">
        <v>28</v>
      </c>
      <c r="H106" s="2">
        <v>0.5</v>
      </c>
      <c r="P106" s="3">
        <f t="shared" si="19"/>
        <v>15</v>
      </c>
      <c r="Q106" s="3">
        <f t="shared" si="20"/>
        <v>29</v>
      </c>
      <c r="R106" s="3">
        <v>16</v>
      </c>
      <c r="S106" s="3">
        <v>29</v>
      </c>
    </row>
    <row r="107" spans="1:19" ht="15.75" x14ac:dyDescent="0.25">
      <c r="A107" s="2" t="s">
        <v>20</v>
      </c>
      <c r="B107" s="2" t="s">
        <v>36</v>
      </c>
      <c r="C107" s="2">
        <v>104</v>
      </c>
      <c r="D107" s="2">
        <v>80</v>
      </c>
      <c r="E107" s="2">
        <v>0</v>
      </c>
      <c r="F107" s="2">
        <v>28</v>
      </c>
      <c r="H107" s="2">
        <v>0.5</v>
      </c>
      <c r="L107" s="3" t="s">
        <v>68</v>
      </c>
      <c r="P107" s="3">
        <f t="shared" si="19"/>
        <v>16</v>
      </c>
      <c r="Q107" s="3">
        <f t="shared" si="20"/>
        <v>29</v>
      </c>
      <c r="R107" s="3">
        <v>17</v>
      </c>
      <c r="S107" s="3">
        <v>29</v>
      </c>
    </row>
    <row r="108" spans="1:19" ht="15.75" x14ac:dyDescent="0.25">
      <c r="A108" s="2" t="s">
        <v>20</v>
      </c>
      <c r="B108" s="2" t="s">
        <v>37</v>
      </c>
      <c r="C108" s="2">
        <v>105</v>
      </c>
      <c r="D108" s="2">
        <v>100</v>
      </c>
      <c r="E108" s="2">
        <v>0</v>
      </c>
      <c r="F108" s="2">
        <v>28</v>
      </c>
      <c r="H108" s="2">
        <v>0.5</v>
      </c>
      <c r="M108" s="3" t="s">
        <v>51</v>
      </c>
      <c r="N108" s="3" t="s">
        <v>35</v>
      </c>
      <c r="P108" s="3">
        <f t="shared" si="19"/>
        <v>17</v>
      </c>
      <c r="Q108" s="3">
        <f t="shared" si="20"/>
        <v>29</v>
      </c>
      <c r="R108" s="3">
        <f>R107+0.8</f>
        <v>17.8</v>
      </c>
      <c r="S108" s="3">
        <f>S107-1</f>
        <v>28</v>
      </c>
    </row>
    <row r="109" spans="1:19" ht="15.75" x14ac:dyDescent="0.25">
      <c r="A109" s="2" t="s">
        <v>20</v>
      </c>
      <c r="B109" s="2" t="s">
        <v>37</v>
      </c>
      <c r="C109" s="4">
        <v>106</v>
      </c>
      <c r="D109" s="2">
        <v>100</v>
      </c>
      <c r="E109" s="2">
        <v>0</v>
      </c>
      <c r="F109" s="2">
        <v>28</v>
      </c>
      <c r="H109" s="2">
        <v>0.5</v>
      </c>
      <c r="L109" s="3" t="s">
        <v>68</v>
      </c>
      <c r="P109" s="3">
        <f t="shared" si="19"/>
        <v>17.8</v>
      </c>
      <c r="Q109" s="3">
        <f t="shared" si="20"/>
        <v>28</v>
      </c>
      <c r="R109" s="3">
        <f t="shared" ref="R109:R112" si="36">R108+0.8</f>
        <v>18.600000000000001</v>
      </c>
      <c r="S109" s="3">
        <f t="shared" ref="S109:S112" si="37">S108-1</f>
        <v>27</v>
      </c>
    </row>
    <row r="110" spans="1:19" ht="15.75" x14ac:dyDescent="0.25">
      <c r="A110" s="2" t="s">
        <v>20</v>
      </c>
      <c r="B110" s="2" t="s">
        <v>37</v>
      </c>
      <c r="C110" s="2">
        <v>107</v>
      </c>
      <c r="D110" s="2">
        <v>90</v>
      </c>
      <c r="E110" s="2">
        <v>0</v>
      </c>
      <c r="F110" s="2">
        <v>28</v>
      </c>
      <c r="H110" s="2">
        <v>0.5</v>
      </c>
      <c r="P110" s="3">
        <f t="shared" si="19"/>
        <v>18.600000000000001</v>
      </c>
      <c r="Q110" s="3">
        <f t="shared" si="20"/>
        <v>27</v>
      </c>
      <c r="R110" s="3">
        <f t="shared" si="36"/>
        <v>19.400000000000002</v>
      </c>
      <c r="S110" s="3">
        <f t="shared" si="37"/>
        <v>26</v>
      </c>
    </row>
    <row r="111" spans="1:19" ht="15.75" x14ac:dyDescent="0.25">
      <c r="A111" s="2" t="s">
        <v>20</v>
      </c>
      <c r="B111" s="2" t="s">
        <v>37</v>
      </c>
      <c r="C111" s="2">
        <v>108</v>
      </c>
      <c r="D111" s="2">
        <v>100</v>
      </c>
      <c r="E111" s="2">
        <v>0</v>
      </c>
      <c r="F111" s="2">
        <v>28</v>
      </c>
      <c r="H111" s="2">
        <v>0.5</v>
      </c>
      <c r="O111" s="3" t="s">
        <v>3</v>
      </c>
      <c r="P111" s="3">
        <f t="shared" si="19"/>
        <v>19.400000000000002</v>
      </c>
      <c r="Q111" s="3">
        <f t="shared" si="20"/>
        <v>26</v>
      </c>
      <c r="R111" s="3">
        <f t="shared" si="36"/>
        <v>20.200000000000003</v>
      </c>
      <c r="S111" s="3">
        <f t="shared" si="37"/>
        <v>25</v>
      </c>
    </row>
    <row r="112" spans="1:19" ht="15.75" x14ac:dyDescent="0.25">
      <c r="A112" s="2" t="s">
        <v>20</v>
      </c>
      <c r="B112" s="2" t="s">
        <v>37</v>
      </c>
      <c r="C112" s="2">
        <v>109</v>
      </c>
      <c r="D112" s="2">
        <v>100</v>
      </c>
      <c r="E112" s="2">
        <v>0</v>
      </c>
      <c r="F112" s="2">
        <v>28</v>
      </c>
      <c r="H112" s="2">
        <v>0.5</v>
      </c>
      <c r="P112" s="3">
        <f t="shared" si="19"/>
        <v>20.200000000000003</v>
      </c>
      <c r="Q112" s="3">
        <f t="shared" si="20"/>
        <v>25</v>
      </c>
      <c r="R112" s="3">
        <f t="shared" si="36"/>
        <v>21.000000000000004</v>
      </c>
      <c r="S112" s="3">
        <f t="shared" si="37"/>
        <v>24</v>
      </c>
    </row>
    <row r="113" spans="1:19" ht="15.75" x14ac:dyDescent="0.25">
      <c r="A113" s="2" t="s">
        <v>20</v>
      </c>
      <c r="B113" s="2" t="s">
        <v>38</v>
      </c>
      <c r="C113" s="4">
        <v>110</v>
      </c>
      <c r="D113" s="2">
        <v>100</v>
      </c>
      <c r="E113" s="2">
        <v>0</v>
      </c>
      <c r="F113" s="2">
        <v>30</v>
      </c>
      <c r="H113" s="2">
        <v>0.5</v>
      </c>
      <c r="P113" s="3">
        <f t="shared" si="19"/>
        <v>21.000000000000004</v>
      </c>
      <c r="Q113" s="3">
        <f t="shared" si="20"/>
        <v>24</v>
      </c>
      <c r="R113" s="3">
        <f>R112</f>
        <v>21.000000000000004</v>
      </c>
      <c r="S113" s="3">
        <f>S112-0.7</f>
        <v>23.3</v>
      </c>
    </row>
    <row r="114" spans="1:19" ht="15.75" x14ac:dyDescent="0.25">
      <c r="A114" s="2" t="s">
        <v>20</v>
      </c>
      <c r="B114" s="2" t="s">
        <v>38</v>
      </c>
      <c r="C114" s="2">
        <v>111</v>
      </c>
      <c r="D114" s="2">
        <v>100</v>
      </c>
      <c r="E114" s="2">
        <v>0</v>
      </c>
      <c r="F114" s="2">
        <v>30</v>
      </c>
      <c r="H114" s="2">
        <v>0.5</v>
      </c>
      <c r="P114" s="3">
        <f t="shared" si="19"/>
        <v>21.000000000000004</v>
      </c>
      <c r="Q114" s="3">
        <f t="shared" si="20"/>
        <v>23.3</v>
      </c>
      <c r="R114" s="3">
        <f t="shared" ref="R114:R119" si="38">R113</f>
        <v>21.000000000000004</v>
      </c>
      <c r="S114" s="3">
        <f t="shared" ref="S114:S119" si="39">S113-0.7</f>
        <v>22.6</v>
      </c>
    </row>
    <row r="115" spans="1:19" ht="15.75" x14ac:dyDescent="0.25">
      <c r="A115" s="2" t="s">
        <v>20</v>
      </c>
      <c r="B115" s="2" t="s">
        <v>38</v>
      </c>
      <c r="C115" s="2">
        <v>112</v>
      </c>
      <c r="D115" s="2">
        <v>100</v>
      </c>
      <c r="E115" s="2">
        <v>0</v>
      </c>
      <c r="F115" s="2">
        <v>30</v>
      </c>
      <c r="H115" s="2">
        <v>0.5</v>
      </c>
      <c r="P115" s="3">
        <f t="shared" si="19"/>
        <v>21.000000000000004</v>
      </c>
      <c r="Q115" s="3">
        <f t="shared" si="20"/>
        <v>22.6</v>
      </c>
      <c r="R115" s="3">
        <f t="shared" si="38"/>
        <v>21.000000000000004</v>
      </c>
      <c r="S115" s="3">
        <f t="shared" si="39"/>
        <v>21.900000000000002</v>
      </c>
    </row>
    <row r="116" spans="1:19" ht="15.75" x14ac:dyDescent="0.25">
      <c r="A116" s="2" t="s">
        <v>20</v>
      </c>
      <c r="B116" s="2" t="s">
        <v>38</v>
      </c>
      <c r="C116" s="2">
        <v>113</v>
      </c>
      <c r="D116" s="2">
        <v>100</v>
      </c>
      <c r="E116" s="2">
        <v>0</v>
      </c>
      <c r="F116" s="2">
        <v>30</v>
      </c>
      <c r="H116" s="2">
        <v>0.5</v>
      </c>
      <c r="L116" s="3" t="s">
        <v>72</v>
      </c>
      <c r="P116" s="3">
        <f t="shared" si="19"/>
        <v>21.000000000000004</v>
      </c>
      <c r="Q116" s="3">
        <f t="shared" si="20"/>
        <v>21.900000000000002</v>
      </c>
      <c r="R116" s="3">
        <f t="shared" si="38"/>
        <v>21.000000000000004</v>
      </c>
      <c r="S116" s="3">
        <f t="shared" si="39"/>
        <v>21.200000000000003</v>
      </c>
    </row>
    <row r="117" spans="1:19" ht="15.75" x14ac:dyDescent="0.25">
      <c r="A117" s="2" t="s">
        <v>20</v>
      </c>
      <c r="B117" s="2" t="s">
        <v>38</v>
      </c>
      <c r="C117" s="4">
        <v>114</v>
      </c>
      <c r="D117" s="2">
        <v>162</v>
      </c>
      <c r="E117" s="2">
        <v>0</v>
      </c>
      <c r="F117" s="2">
        <v>30</v>
      </c>
      <c r="H117" s="2">
        <v>0.5</v>
      </c>
      <c r="M117" s="3" t="s">
        <v>50</v>
      </c>
      <c r="N117" s="3" t="s">
        <v>35</v>
      </c>
      <c r="P117" s="3">
        <f t="shared" si="19"/>
        <v>21.000000000000004</v>
      </c>
      <c r="Q117" s="3">
        <f t="shared" si="20"/>
        <v>21.200000000000003</v>
      </c>
      <c r="R117" s="3">
        <f t="shared" si="38"/>
        <v>21.000000000000004</v>
      </c>
      <c r="S117" s="3">
        <f t="shared" si="39"/>
        <v>20.500000000000004</v>
      </c>
    </row>
    <row r="118" spans="1:19" ht="15.75" x14ac:dyDescent="0.25">
      <c r="A118" s="2" t="s">
        <v>20</v>
      </c>
      <c r="B118" s="2" t="s">
        <v>38</v>
      </c>
      <c r="C118" s="2">
        <v>115</v>
      </c>
      <c r="D118" s="2">
        <v>100</v>
      </c>
      <c r="E118" s="2">
        <v>0</v>
      </c>
      <c r="F118" s="2">
        <v>30</v>
      </c>
      <c r="H118" s="2">
        <v>0.5</v>
      </c>
      <c r="L118" s="3" t="s">
        <v>72</v>
      </c>
      <c r="P118" s="3">
        <f t="shared" si="19"/>
        <v>21.000000000000004</v>
      </c>
      <c r="Q118" s="3">
        <f t="shared" si="20"/>
        <v>20.500000000000004</v>
      </c>
      <c r="R118" s="3">
        <f t="shared" si="38"/>
        <v>21.000000000000004</v>
      </c>
      <c r="S118" s="3">
        <f t="shared" si="39"/>
        <v>19.800000000000004</v>
      </c>
    </row>
    <row r="119" spans="1:19" ht="15.75" x14ac:dyDescent="0.25">
      <c r="A119" s="2" t="s">
        <v>20</v>
      </c>
      <c r="B119" s="2" t="s">
        <v>38</v>
      </c>
      <c r="C119" s="2">
        <v>116</v>
      </c>
      <c r="D119" s="2">
        <v>100</v>
      </c>
      <c r="E119" s="2">
        <v>0</v>
      </c>
      <c r="F119" s="2">
        <v>30</v>
      </c>
      <c r="H119" s="2">
        <v>0.5</v>
      </c>
      <c r="P119" s="3">
        <f t="shared" si="19"/>
        <v>21.000000000000004</v>
      </c>
      <c r="Q119" s="3">
        <f t="shared" si="20"/>
        <v>19.800000000000004</v>
      </c>
      <c r="R119" s="3">
        <f t="shared" si="38"/>
        <v>21.000000000000004</v>
      </c>
      <c r="S119" s="3">
        <f t="shared" si="39"/>
        <v>19.100000000000005</v>
      </c>
    </row>
    <row r="120" spans="1:19" ht="15.75" x14ac:dyDescent="0.25">
      <c r="A120" s="2" t="s">
        <v>20</v>
      </c>
      <c r="B120" s="2" t="s">
        <v>39</v>
      </c>
      <c r="C120" s="2">
        <v>117</v>
      </c>
      <c r="D120" s="2">
        <v>50</v>
      </c>
      <c r="E120" s="2">
        <v>0</v>
      </c>
      <c r="F120" s="2">
        <v>15</v>
      </c>
      <c r="H120" s="2">
        <v>0.5</v>
      </c>
      <c r="P120" s="3">
        <f t="shared" si="19"/>
        <v>21.000000000000004</v>
      </c>
      <c r="Q120" s="3">
        <f t="shared" si="20"/>
        <v>19.100000000000005</v>
      </c>
      <c r="R120" s="3">
        <f>R119-0.9</f>
        <v>20.100000000000005</v>
      </c>
      <c r="S120" s="3">
        <f>S119-0.8</f>
        <v>18.300000000000004</v>
      </c>
    </row>
    <row r="121" spans="1:19" ht="15.75" x14ac:dyDescent="0.25">
      <c r="A121" s="2" t="s">
        <v>20</v>
      </c>
      <c r="B121" s="2" t="s">
        <v>39</v>
      </c>
      <c r="C121" s="4">
        <v>118</v>
      </c>
      <c r="D121" s="2">
        <v>50</v>
      </c>
      <c r="E121" s="2">
        <v>0</v>
      </c>
      <c r="F121" s="2">
        <v>15</v>
      </c>
      <c r="H121" s="2">
        <v>0.5</v>
      </c>
      <c r="P121" s="3">
        <f t="shared" si="19"/>
        <v>20.100000000000005</v>
      </c>
      <c r="Q121" s="3">
        <f t="shared" si="20"/>
        <v>18.300000000000004</v>
      </c>
      <c r="R121" s="3">
        <f>R120-0.9</f>
        <v>19.200000000000006</v>
      </c>
      <c r="S121" s="3">
        <f t="shared" ref="S121:S124" si="40">S120-0.8</f>
        <v>17.500000000000004</v>
      </c>
    </row>
    <row r="122" spans="1:19" ht="15.75" x14ac:dyDescent="0.25">
      <c r="A122" s="2" t="s">
        <v>20</v>
      </c>
      <c r="B122" s="2" t="s">
        <v>39</v>
      </c>
      <c r="C122" s="2">
        <v>119</v>
      </c>
      <c r="D122" s="2">
        <v>40</v>
      </c>
      <c r="E122" s="2">
        <v>0</v>
      </c>
      <c r="F122" s="2">
        <v>15</v>
      </c>
      <c r="H122" s="2">
        <v>0.5</v>
      </c>
      <c r="P122" s="3">
        <f t="shared" si="19"/>
        <v>19.200000000000006</v>
      </c>
      <c r="Q122" s="3">
        <f t="shared" si="20"/>
        <v>17.500000000000004</v>
      </c>
      <c r="R122" s="3">
        <f t="shared" ref="R122:R124" si="41">R121-0.9</f>
        <v>18.300000000000008</v>
      </c>
      <c r="S122" s="3">
        <f t="shared" si="40"/>
        <v>16.700000000000003</v>
      </c>
    </row>
    <row r="123" spans="1:19" ht="15.75" x14ac:dyDescent="0.25">
      <c r="A123" s="2" t="s">
        <v>20</v>
      </c>
      <c r="B123" s="2" t="s">
        <v>39</v>
      </c>
      <c r="C123" s="2">
        <v>120</v>
      </c>
      <c r="D123" s="2">
        <v>50</v>
      </c>
      <c r="E123" s="2">
        <v>0</v>
      </c>
      <c r="F123" s="2">
        <v>15</v>
      </c>
      <c r="H123" s="2">
        <v>0.5</v>
      </c>
      <c r="P123" s="3">
        <f t="shared" si="19"/>
        <v>18.300000000000008</v>
      </c>
      <c r="Q123" s="3">
        <f t="shared" si="20"/>
        <v>16.700000000000003</v>
      </c>
      <c r="R123" s="3">
        <f t="shared" si="41"/>
        <v>17.400000000000009</v>
      </c>
      <c r="S123" s="3">
        <f t="shared" si="40"/>
        <v>15.900000000000002</v>
      </c>
    </row>
    <row r="124" spans="1:19" ht="15.75" x14ac:dyDescent="0.25">
      <c r="A124" s="2" t="s">
        <v>20</v>
      </c>
      <c r="B124" s="2" t="s">
        <v>39</v>
      </c>
      <c r="C124" s="2">
        <v>121</v>
      </c>
      <c r="D124" s="2">
        <v>50</v>
      </c>
      <c r="E124" s="2">
        <v>0</v>
      </c>
      <c r="F124" s="2">
        <v>15</v>
      </c>
      <c r="H124" s="2">
        <v>0.5</v>
      </c>
      <c r="P124" s="3">
        <f t="shared" si="19"/>
        <v>17.400000000000009</v>
      </c>
      <c r="Q124" s="3">
        <f t="shared" si="20"/>
        <v>15.900000000000002</v>
      </c>
      <c r="R124" s="3">
        <f t="shared" si="41"/>
        <v>16.500000000000011</v>
      </c>
      <c r="S124" s="3">
        <f t="shared" si="40"/>
        <v>15.100000000000001</v>
      </c>
    </row>
    <row r="125" spans="1:19" ht="15.75" x14ac:dyDescent="0.25">
      <c r="A125" s="2" t="s">
        <v>20</v>
      </c>
      <c r="B125" s="2" t="s">
        <v>40</v>
      </c>
      <c r="C125" s="4">
        <v>122</v>
      </c>
      <c r="D125" s="2">
        <v>50</v>
      </c>
      <c r="E125" s="2">
        <v>0</v>
      </c>
      <c r="F125" s="2">
        <v>20</v>
      </c>
      <c r="H125" s="2">
        <v>0.5</v>
      </c>
      <c r="I125" s="3" t="s">
        <v>3</v>
      </c>
      <c r="L125" s="3" t="s">
        <v>73</v>
      </c>
      <c r="P125" s="3">
        <f t="shared" si="19"/>
        <v>16.500000000000011</v>
      </c>
      <c r="Q125" s="3">
        <f t="shared" si="20"/>
        <v>15.100000000000001</v>
      </c>
      <c r="R125" s="3">
        <f>R124-0.5</f>
        <v>16.000000000000011</v>
      </c>
      <c r="S125" s="3">
        <f>S124</f>
        <v>15.100000000000001</v>
      </c>
    </row>
    <row r="126" spans="1:19" ht="15.75" x14ac:dyDescent="0.25">
      <c r="A126" s="2" t="s">
        <v>20</v>
      </c>
      <c r="B126" s="2" t="s">
        <v>40</v>
      </c>
      <c r="C126" s="2">
        <v>123</v>
      </c>
      <c r="D126" s="2">
        <v>50</v>
      </c>
      <c r="E126" s="2">
        <v>0</v>
      </c>
      <c r="F126" s="2">
        <v>20</v>
      </c>
      <c r="H126" s="2">
        <v>0.5</v>
      </c>
      <c r="I126" s="3" t="s">
        <v>3</v>
      </c>
      <c r="M126" s="3" t="s">
        <v>49</v>
      </c>
      <c r="N126" s="3" t="s">
        <v>35</v>
      </c>
      <c r="P126" s="3">
        <f t="shared" si="19"/>
        <v>16.000000000000011</v>
      </c>
      <c r="Q126" s="3">
        <f t="shared" si="20"/>
        <v>15.100000000000001</v>
      </c>
      <c r="R126" s="3">
        <f t="shared" ref="R126:R146" si="42">R125-0.5</f>
        <v>15.500000000000011</v>
      </c>
      <c r="S126" s="3">
        <f t="shared" ref="S126:S146" si="43">S125</f>
        <v>15.100000000000001</v>
      </c>
    </row>
    <row r="127" spans="1:19" ht="15.75" x14ac:dyDescent="0.25">
      <c r="A127" s="2" t="s">
        <v>20</v>
      </c>
      <c r="B127" s="2" t="s">
        <v>40</v>
      </c>
      <c r="C127" s="2">
        <v>124</v>
      </c>
      <c r="D127" s="2">
        <v>50</v>
      </c>
      <c r="E127" s="2">
        <v>0</v>
      </c>
      <c r="F127" s="2">
        <v>20</v>
      </c>
      <c r="H127" s="2">
        <v>0.5</v>
      </c>
      <c r="I127" s="3" t="s">
        <v>3</v>
      </c>
      <c r="L127" s="3" t="s">
        <v>73</v>
      </c>
      <c r="P127" s="3">
        <f t="shared" si="19"/>
        <v>15.500000000000011</v>
      </c>
      <c r="Q127" s="3">
        <f t="shared" si="20"/>
        <v>15.100000000000001</v>
      </c>
      <c r="R127" s="3">
        <f t="shared" si="42"/>
        <v>15.000000000000011</v>
      </c>
      <c r="S127" s="3">
        <f t="shared" si="43"/>
        <v>15.100000000000001</v>
      </c>
    </row>
    <row r="128" spans="1:19" ht="15.75" x14ac:dyDescent="0.25">
      <c r="A128" s="2" t="s">
        <v>20</v>
      </c>
      <c r="B128" s="2" t="s">
        <v>40</v>
      </c>
      <c r="C128" s="2">
        <v>125</v>
      </c>
      <c r="D128" s="2">
        <v>50</v>
      </c>
      <c r="E128" s="2">
        <v>0</v>
      </c>
      <c r="F128" s="2">
        <v>20</v>
      </c>
      <c r="H128" s="2">
        <v>0.5</v>
      </c>
      <c r="I128" s="3" t="s">
        <v>3</v>
      </c>
      <c r="P128" s="3">
        <f t="shared" si="19"/>
        <v>15.000000000000011</v>
      </c>
      <c r="Q128" s="3">
        <f t="shared" si="20"/>
        <v>15.100000000000001</v>
      </c>
      <c r="R128" s="3">
        <f t="shared" si="42"/>
        <v>14.500000000000011</v>
      </c>
      <c r="S128" s="3">
        <f t="shared" si="43"/>
        <v>15.100000000000001</v>
      </c>
    </row>
    <row r="129" spans="1:19" ht="15.75" x14ac:dyDescent="0.25">
      <c r="A129" s="2" t="s">
        <v>20</v>
      </c>
      <c r="B129" s="2" t="s">
        <v>40</v>
      </c>
      <c r="C129" s="4">
        <v>126</v>
      </c>
      <c r="D129" s="2">
        <v>50</v>
      </c>
      <c r="E129" s="2">
        <v>0</v>
      </c>
      <c r="F129" s="2">
        <v>20</v>
      </c>
      <c r="H129" s="2">
        <v>0.5</v>
      </c>
      <c r="I129" s="3" t="s">
        <v>3</v>
      </c>
      <c r="P129" s="3">
        <f t="shared" si="19"/>
        <v>14.500000000000011</v>
      </c>
      <c r="Q129" s="3">
        <f t="shared" si="20"/>
        <v>15.100000000000001</v>
      </c>
      <c r="R129" s="3">
        <f t="shared" si="42"/>
        <v>14.000000000000011</v>
      </c>
      <c r="S129" s="3">
        <f t="shared" si="43"/>
        <v>15.100000000000001</v>
      </c>
    </row>
    <row r="130" spans="1:19" ht="15.75" x14ac:dyDescent="0.25">
      <c r="A130" s="2" t="s">
        <v>20</v>
      </c>
      <c r="B130" s="2" t="s">
        <v>40</v>
      </c>
      <c r="C130" s="2">
        <v>127</v>
      </c>
      <c r="D130" s="2">
        <v>50</v>
      </c>
      <c r="E130" s="2">
        <v>0</v>
      </c>
      <c r="F130" s="2">
        <v>20</v>
      </c>
      <c r="H130" s="2">
        <v>0.5</v>
      </c>
      <c r="I130" s="3" t="s">
        <v>3</v>
      </c>
      <c r="P130" s="3">
        <f t="shared" si="19"/>
        <v>14.000000000000011</v>
      </c>
      <c r="Q130" s="3">
        <f t="shared" si="20"/>
        <v>15.100000000000001</v>
      </c>
      <c r="R130" s="3">
        <f t="shared" si="42"/>
        <v>13.500000000000011</v>
      </c>
      <c r="S130" s="3">
        <f t="shared" si="43"/>
        <v>15.100000000000001</v>
      </c>
    </row>
    <row r="131" spans="1:19" ht="15.75" x14ac:dyDescent="0.25">
      <c r="A131" s="2" t="s">
        <v>20</v>
      </c>
      <c r="B131" s="2" t="s">
        <v>40</v>
      </c>
      <c r="C131" s="2">
        <v>128</v>
      </c>
      <c r="D131" s="2">
        <v>50</v>
      </c>
      <c r="E131" s="2">
        <v>0</v>
      </c>
      <c r="F131" s="2">
        <v>20</v>
      </c>
      <c r="H131" s="2">
        <v>0.5</v>
      </c>
      <c r="I131" s="3" t="s">
        <v>3</v>
      </c>
      <c r="P131" s="3">
        <f t="shared" ref="P131:P153" si="44">R130</f>
        <v>13.500000000000011</v>
      </c>
      <c r="Q131" s="3">
        <f t="shared" ref="Q131:Q153" si="45">S130</f>
        <v>15.100000000000001</v>
      </c>
      <c r="R131" s="3">
        <f t="shared" si="42"/>
        <v>13.000000000000011</v>
      </c>
      <c r="S131" s="3">
        <f t="shared" si="43"/>
        <v>15.100000000000001</v>
      </c>
    </row>
    <row r="132" spans="1:19" ht="15.75" x14ac:dyDescent="0.25">
      <c r="A132" s="2" t="s">
        <v>20</v>
      </c>
      <c r="B132" s="2" t="s">
        <v>40</v>
      </c>
      <c r="C132" s="2">
        <v>129</v>
      </c>
      <c r="D132" s="2">
        <v>50</v>
      </c>
      <c r="E132" s="2">
        <v>0</v>
      </c>
      <c r="F132" s="2">
        <v>20</v>
      </c>
      <c r="H132" s="2">
        <v>0.5</v>
      </c>
      <c r="I132" s="3" t="s">
        <v>3</v>
      </c>
      <c r="P132" s="3">
        <f t="shared" si="44"/>
        <v>13.000000000000011</v>
      </c>
      <c r="Q132" s="3">
        <f t="shared" si="45"/>
        <v>15.100000000000001</v>
      </c>
      <c r="R132" s="3">
        <f t="shared" si="42"/>
        <v>12.500000000000011</v>
      </c>
      <c r="S132" s="3">
        <f t="shared" si="43"/>
        <v>15.100000000000001</v>
      </c>
    </row>
    <row r="133" spans="1:19" ht="15.75" x14ac:dyDescent="0.25">
      <c r="A133" s="2" t="s">
        <v>20</v>
      </c>
      <c r="B133" s="2" t="s">
        <v>40</v>
      </c>
      <c r="C133" s="4">
        <v>130</v>
      </c>
      <c r="D133" s="2">
        <v>50</v>
      </c>
      <c r="E133" s="2">
        <v>0</v>
      </c>
      <c r="F133" s="2">
        <v>20</v>
      </c>
      <c r="H133" s="2">
        <v>0.5</v>
      </c>
      <c r="I133" s="3" t="s">
        <v>3</v>
      </c>
      <c r="P133" s="3">
        <f t="shared" si="44"/>
        <v>12.500000000000011</v>
      </c>
      <c r="Q133" s="3">
        <f t="shared" si="45"/>
        <v>15.100000000000001</v>
      </c>
      <c r="R133" s="3">
        <f t="shared" si="42"/>
        <v>12.000000000000011</v>
      </c>
      <c r="S133" s="3">
        <f t="shared" si="43"/>
        <v>15.100000000000001</v>
      </c>
    </row>
    <row r="134" spans="1:19" ht="15.75" x14ac:dyDescent="0.25">
      <c r="A134" s="2" t="s">
        <v>20</v>
      </c>
      <c r="B134" s="2" t="s">
        <v>40</v>
      </c>
      <c r="C134" s="2">
        <v>131</v>
      </c>
      <c r="D134" s="2">
        <v>50</v>
      </c>
      <c r="E134" s="2">
        <v>0</v>
      </c>
      <c r="F134" s="2">
        <v>20</v>
      </c>
      <c r="H134" s="2">
        <v>0.5</v>
      </c>
      <c r="I134" s="3" t="s">
        <v>3</v>
      </c>
      <c r="L134" s="3" t="s">
        <v>74</v>
      </c>
      <c r="P134" s="3">
        <f t="shared" si="44"/>
        <v>12.000000000000011</v>
      </c>
      <c r="Q134" s="3">
        <f t="shared" si="45"/>
        <v>15.100000000000001</v>
      </c>
      <c r="R134" s="3">
        <f t="shared" si="42"/>
        <v>11.500000000000011</v>
      </c>
      <c r="S134" s="3">
        <f t="shared" si="43"/>
        <v>15.100000000000001</v>
      </c>
    </row>
    <row r="135" spans="1:19" ht="15.75" x14ac:dyDescent="0.25">
      <c r="A135" s="2" t="s">
        <v>20</v>
      </c>
      <c r="B135" s="2" t="s">
        <v>40</v>
      </c>
      <c r="C135" s="2">
        <v>132</v>
      </c>
      <c r="D135" s="2">
        <v>50</v>
      </c>
      <c r="E135" s="2">
        <v>0</v>
      </c>
      <c r="F135" s="2">
        <v>20</v>
      </c>
      <c r="H135" s="2">
        <v>0.5</v>
      </c>
      <c r="I135" s="3" t="s">
        <v>3</v>
      </c>
      <c r="M135" s="3" t="s">
        <v>48</v>
      </c>
      <c r="N135" s="3" t="s">
        <v>29</v>
      </c>
      <c r="P135" s="3">
        <f t="shared" si="44"/>
        <v>11.500000000000011</v>
      </c>
      <c r="Q135" s="3">
        <f t="shared" si="45"/>
        <v>15.100000000000001</v>
      </c>
      <c r="R135" s="3">
        <f t="shared" si="42"/>
        <v>11.000000000000011</v>
      </c>
      <c r="S135" s="3">
        <f t="shared" si="43"/>
        <v>15.100000000000001</v>
      </c>
    </row>
    <row r="136" spans="1:19" ht="15.75" x14ac:dyDescent="0.25">
      <c r="A136" s="2" t="s">
        <v>20</v>
      </c>
      <c r="B136" s="2" t="s">
        <v>40</v>
      </c>
      <c r="C136" s="2">
        <v>133</v>
      </c>
      <c r="D136" s="2">
        <v>50</v>
      </c>
      <c r="E136" s="2">
        <v>0</v>
      </c>
      <c r="F136" s="2">
        <v>20</v>
      </c>
      <c r="H136" s="2">
        <v>0.5</v>
      </c>
      <c r="I136" s="3" t="s">
        <v>3</v>
      </c>
      <c r="L136" s="3" t="s">
        <v>74</v>
      </c>
      <c r="P136" s="3">
        <f t="shared" si="44"/>
        <v>11.000000000000011</v>
      </c>
      <c r="Q136" s="3">
        <f t="shared" si="45"/>
        <v>15.100000000000001</v>
      </c>
      <c r="R136" s="3">
        <f t="shared" si="42"/>
        <v>10.500000000000011</v>
      </c>
      <c r="S136" s="3">
        <f t="shared" si="43"/>
        <v>15.100000000000001</v>
      </c>
    </row>
    <row r="137" spans="1:19" ht="15.75" x14ac:dyDescent="0.25">
      <c r="A137" s="2" t="s">
        <v>20</v>
      </c>
      <c r="B137" s="2" t="s">
        <v>40</v>
      </c>
      <c r="C137" s="4">
        <v>134</v>
      </c>
      <c r="D137" s="2">
        <v>50</v>
      </c>
      <c r="E137" s="2">
        <v>0</v>
      </c>
      <c r="F137" s="2">
        <v>20</v>
      </c>
      <c r="H137" s="2">
        <v>0.5</v>
      </c>
      <c r="I137" s="3" t="s">
        <v>3</v>
      </c>
      <c r="P137" s="3">
        <f t="shared" si="44"/>
        <v>10.500000000000011</v>
      </c>
      <c r="Q137" s="3">
        <f t="shared" si="45"/>
        <v>15.100000000000001</v>
      </c>
      <c r="R137" s="3">
        <f t="shared" si="42"/>
        <v>10.000000000000011</v>
      </c>
      <c r="S137" s="3">
        <f t="shared" si="43"/>
        <v>15.100000000000001</v>
      </c>
    </row>
    <row r="138" spans="1:19" ht="15.75" x14ac:dyDescent="0.25">
      <c r="A138" s="2" t="s">
        <v>20</v>
      </c>
      <c r="B138" s="2" t="s">
        <v>40</v>
      </c>
      <c r="C138" s="2">
        <v>135</v>
      </c>
      <c r="D138" s="2">
        <v>50</v>
      </c>
      <c r="E138" s="2">
        <v>0</v>
      </c>
      <c r="F138" s="2">
        <v>20</v>
      </c>
      <c r="H138" s="2">
        <v>0.5</v>
      </c>
      <c r="I138" s="3" t="s">
        <v>3</v>
      </c>
      <c r="P138" s="3">
        <f t="shared" si="44"/>
        <v>10.000000000000011</v>
      </c>
      <c r="Q138" s="3">
        <f t="shared" si="45"/>
        <v>15.100000000000001</v>
      </c>
      <c r="R138" s="3">
        <f t="shared" si="42"/>
        <v>9.5000000000000107</v>
      </c>
      <c r="S138" s="3">
        <f t="shared" si="43"/>
        <v>15.100000000000001</v>
      </c>
    </row>
    <row r="139" spans="1:19" ht="15.75" x14ac:dyDescent="0.25">
      <c r="A139" s="2" t="s">
        <v>20</v>
      </c>
      <c r="B139" s="2" t="s">
        <v>40</v>
      </c>
      <c r="C139" s="2">
        <v>136</v>
      </c>
      <c r="D139" s="2">
        <v>50</v>
      </c>
      <c r="E139" s="2">
        <v>0</v>
      </c>
      <c r="F139" s="2">
        <v>20</v>
      </c>
      <c r="H139" s="2">
        <v>0.5</v>
      </c>
      <c r="I139" s="3" t="s">
        <v>3</v>
      </c>
      <c r="P139" s="3">
        <f t="shared" si="44"/>
        <v>9.5000000000000107</v>
      </c>
      <c r="Q139" s="3">
        <f t="shared" si="45"/>
        <v>15.100000000000001</v>
      </c>
      <c r="R139" s="3">
        <f t="shared" si="42"/>
        <v>9.0000000000000107</v>
      </c>
      <c r="S139" s="3">
        <f t="shared" si="43"/>
        <v>15.100000000000001</v>
      </c>
    </row>
    <row r="140" spans="1:19" ht="15.75" x14ac:dyDescent="0.25">
      <c r="A140" s="2" t="s">
        <v>20</v>
      </c>
      <c r="B140" s="2" t="s">
        <v>40</v>
      </c>
      <c r="C140" s="2">
        <v>137</v>
      </c>
      <c r="D140" s="2">
        <v>50</v>
      </c>
      <c r="E140" s="2">
        <v>0</v>
      </c>
      <c r="F140" s="2">
        <v>20</v>
      </c>
      <c r="H140" s="2">
        <v>0.5</v>
      </c>
      <c r="I140" s="3" t="s">
        <v>3</v>
      </c>
      <c r="P140" s="3">
        <f t="shared" si="44"/>
        <v>9.0000000000000107</v>
      </c>
      <c r="Q140" s="3">
        <f t="shared" si="45"/>
        <v>15.100000000000001</v>
      </c>
      <c r="R140" s="3">
        <f t="shared" si="42"/>
        <v>8.5000000000000107</v>
      </c>
      <c r="S140" s="3">
        <f t="shared" si="43"/>
        <v>15.100000000000001</v>
      </c>
    </row>
    <row r="141" spans="1:19" ht="15.75" x14ac:dyDescent="0.25">
      <c r="A141" s="2" t="s">
        <v>20</v>
      </c>
      <c r="B141" s="2" t="s">
        <v>40</v>
      </c>
      <c r="C141" s="4">
        <v>138</v>
      </c>
      <c r="D141" s="2">
        <v>50</v>
      </c>
      <c r="E141" s="2">
        <v>0</v>
      </c>
      <c r="F141" s="2">
        <v>20</v>
      </c>
      <c r="H141" s="2">
        <v>0.5</v>
      </c>
      <c r="I141" s="3" t="s">
        <v>3</v>
      </c>
      <c r="P141" s="3">
        <f t="shared" si="44"/>
        <v>8.5000000000000107</v>
      </c>
      <c r="Q141" s="3">
        <f t="shared" si="45"/>
        <v>15.100000000000001</v>
      </c>
      <c r="R141" s="3">
        <f t="shared" si="42"/>
        <v>8.0000000000000107</v>
      </c>
      <c r="S141" s="3">
        <f t="shared" si="43"/>
        <v>15.100000000000001</v>
      </c>
    </row>
    <row r="142" spans="1:19" ht="15.75" x14ac:dyDescent="0.25">
      <c r="A142" s="2" t="s">
        <v>20</v>
      </c>
      <c r="B142" s="2" t="s">
        <v>40</v>
      </c>
      <c r="C142" s="2">
        <v>139</v>
      </c>
      <c r="D142" s="2">
        <v>50</v>
      </c>
      <c r="E142" s="2">
        <v>0</v>
      </c>
      <c r="F142" s="2">
        <v>20</v>
      </c>
      <c r="H142" s="2">
        <v>0.5</v>
      </c>
      <c r="I142" s="3" t="s">
        <v>3</v>
      </c>
      <c r="P142" s="3">
        <f t="shared" si="44"/>
        <v>8.0000000000000107</v>
      </c>
      <c r="Q142" s="3">
        <f t="shared" si="45"/>
        <v>15.100000000000001</v>
      </c>
      <c r="R142" s="3">
        <f t="shared" si="42"/>
        <v>7.5000000000000107</v>
      </c>
      <c r="S142" s="3">
        <f t="shared" si="43"/>
        <v>15.100000000000001</v>
      </c>
    </row>
    <row r="143" spans="1:19" ht="15.75" x14ac:dyDescent="0.25">
      <c r="A143" s="2" t="s">
        <v>20</v>
      </c>
      <c r="B143" s="2" t="s">
        <v>40</v>
      </c>
      <c r="C143" s="2">
        <v>140</v>
      </c>
      <c r="D143" s="2">
        <v>50</v>
      </c>
      <c r="E143" s="2">
        <v>0</v>
      </c>
      <c r="F143" s="2">
        <v>20</v>
      </c>
      <c r="H143" s="2">
        <v>0.5</v>
      </c>
      <c r="I143" s="3" t="s">
        <v>3</v>
      </c>
      <c r="L143" s="3" t="s">
        <v>65</v>
      </c>
      <c r="P143" s="3">
        <f t="shared" si="44"/>
        <v>7.5000000000000107</v>
      </c>
      <c r="Q143" s="3">
        <f t="shared" si="45"/>
        <v>15.100000000000001</v>
      </c>
      <c r="R143" s="3">
        <f t="shared" si="42"/>
        <v>7.0000000000000107</v>
      </c>
      <c r="S143" s="3">
        <f t="shared" si="43"/>
        <v>15.100000000000001</v>
      </c>
    </row>
    <row r="144" spans="1:19" ht="15.75" x14ac:dyDescent="0.25">
      <c r="A144" s="2" t="s">
        <v>20</v>
      </c>
      <c r="B144" s="2" t="s">
        <v>40</v>
      </c>
      <c r="C144" s="2">
        <v>141</v>
      </c>
      <c r="D144" s="2">
        <v>50</v>
      </c>
      <c r="E144" s="2">
        <v>0</v>
      </c>
      <c r="F144" s="2">
        <v>20</v>
      </c>
      <c r="H144" s="2">
        <v>0.5</v>
      </c>
      <c r="I144" s="3" t="s">
        <v>3</v>
      </c>
      <c r="M144" s="3" t="s">
        <v>47</v>
      </c>
      <c r="N144" s="3" t="s">
        <v>35</v>
      </c>
      <c r="P144" s="3">
        <f t="shared" si="44"/>
        <v>7.0000000000000107</v>
      </c>
      <c r="Q144" s="3">
        <f t="shared" si="45"/>
        <v>15.100000000000001</v>
      </c>
      <c r="R144" s="3">
        <f t="shared" si="42"/>
        <v>6.5000000000000107</v>
      </c>
      <c r="S144" s="3">
        <f t="shared" si="43"/>
        <v>15.100000000000001</v>
      </c>
    </row>
    <row r="145" spans="1:19" ht="15.75" x14ac:dyDescent="0.25">
      <c r="A145" s="2" t="s">
        <v>20</v>
      </c>
      <c r="B145" s="2" t="s">
        <v>40</v>
      </c>
      <c r="C145" s="4">
        <v>142</v>
      </c>
      <c r="D145" s="2">
        <v>50</v>
      </c>
      <c r="E145" s="2">
        <v>0</v>
      </c>
      <c r="F145" s="2">
        <v>20</v>
      </c>
      <c r="H145" s="2">
        <v>0.5</v>
      </c>
      <c r="I145" s="3" t="s">
        <v>3</v>
      </c>
      <c r="L145" s="3" t="s">
        <v>65</v>
      </c>
      <c r="P145" s="3">
        <f t="shared" si="44"/>
        <v>6.5000000000000107</v>
      </c>
      <c r="Q145" s="3">
        <f t="shared" si="45"/>
        <v>15.100000000000001</v>
      </c>
      <c r="R145" s="3">
        <f t="shared" si="42"/>
        <v>6.0000000000000107</v>
      </c>
      <c r="S145" s="3">
        <f t="shared" si="43"/>
        <v>15.100000000000001</v>
      </c>
    </row>
    <row r="146" spans="1:19" ht="15.75" x14ac:dyDescent="0.25">
      <c r="A146" s="2" t="s">
        <v>20</v>
      </c>
      <c r="B146" s="2" t="s">
        <v>40</v>
      </c>
      <c r="C146" s="2">
        <v>143</v>
      </c>
      <c r="D146" s="2">
        <v>50</v>
      </c>
      <c r="E146" s="2">
        <v>0</v>
      </c>
      <c r="F146" s="2">
        <v>20</v>
      </c>
      <c r="H146" s="2">
        <v>0.5</v>
      </c>
      <c r="I146" s="3" t="s">
        <v>3</v>
      </c>
      <c r="P146" s="3">
        <f t="shared" si="44"/>
        <v>6.0000000000000107</v>
      </c>
      <c r="Q146" s="3">
        <f t="shared" si="45"/>
        <v>15.100000000000001</v>
      </c>
      <c r="R146" s="3">
        <f t="shared" si="42"/>
        <v>5.5000000000000107</v>
      </c>
      <c r="S146" s="3">
        <f t="shared" si="43"/>
        <v>15.100000000000001</v>
      </c>
    </row>
    <row r="147" spans="1:19" ht="15.75" x14ac:dyDescent="0.25">
      <c r="A147" s="2" t="s">
        <v>20</v>
      </c>
      <c r="B147" s="2" t="s">
        <v>3</v>
      </c>
      <c r="C147" s="2">
        <v>144</v>
      </c>
      <c r="D147" s="2">
        <v>50</v>
      </c>
      <c r="E147" s="2">
        <v>0</v>
      </c>
      <c r="F147" s="2">
        <v>20</v>
      </c>
      <c r="H147" s="2">
        <v>0.5</v>
      </c>
      <c r="P147" s="3">
        <f t="shared" si="44"/>
        <v>5.5000000000000107</v>
      </c>
      <c r="Q147" s="3">
        <f t="shared" si="45"/>
        <v>15.100000000000001</v>
      </c>
      <c r="R147" s="3">
        <f>R146-0.8</f>
        <v>4.7000000000000108</v>
      </c>
      <c r="S147" s="3">
        <f>S146-0.7</f>
        <v>14.400000000000002</v>
      </c>
    </row>
    <row r="148" spans="1:19" ht="15.75" x14ac:dyDescent="0.25">
      <c r="A148" s="2" t="s">
        <v>20</v>
      </c>
      <c r="B148" s="2" t="s">
        <v>3</v>
      </c>
      <c r="C148" s="2">
        <v>145</v>
      </c>
      <c r="D148" s="2">
        <v>50</v>
      </c>
      <c r="E148" s="2">
        <v>0</v>
      </c>
      <c r="F148" s="2">
        <v>20</v>
      </c>
      <c r="H148" s="2">
        <v>0.5</v>
      </c>
      <c r="P148" s="3">
        <f t="shared" si="44"/>
        <v>4.7000000000000108</v>
      </c>
      <c r="Q148" s="3">
        <f t="shared" si="45"/>
        <v>14.400000000000002</v>
      </c>
      <c r="R148" s="3">
        <f t="shared" ref="R148:R149" si="46">R147-0.8</f>
        <v>3.900000000000011</v>
      </c>
      <c r="S148" s="3">
        <f t="shared" ref="S148:S149" si="47">S147-0.7</f>
        <v>13.700000000000003</v>
      </c>
    </row>
    <row r="149" spans="1:19" ht="15.75" x14ac:dyDescent="0.25">
      <c r="A149" s="2" t="s">
        <v>20</v>
      </c>
      <c r="B149" s="2" t="s">
        <v>3</v>
      </c>
      <c r="C149" s="4">
        <v>146</v>
      </c>
      <c r="D149" s="2">
        <v>50</v>
      </c>
      <c r="E149" s="2">
        <v>0</v>
      </c>
      <c r="F149" s="2">
        <v>20</v>
      </c>
      <c r="H149" s="2">
        <v>0.5</v>
      </c>
      <c r="P149" s="3">
        <f t="shared" si="44"/>
        <v>3.900000000000011</v>
      </c>
      <c r="Q149" s="3">
        <f t="shared" si="45"/>
        <v>13.700000000000003</v>
      </c>
      <c r="R149" s="3">
        <f t="shared" si="46"/>
        <v>3.1000000000000112</v>
      </c>
      <c r="S149" s="3">
        <f t="shared" si="47"/>
        <v>13.000000000000004</v>
      </c>
    </row>
    <row r="150" spans="1:19" ht="15.75" x14ac:dyDescent="0.25">
      <c r="A150" s="2" t="s">
        <v>20</v>
      </c>
      <c r="B150" s="2" t="s">
        <v>41</v>
      </c>
      <c r="C150" s="2">
        <v>147</v>
      </c>
      <c r="D150" s="2">
        <v>50</v>
      </c>
      <c r="E150" s="2">
        <v>0</v>
      </c>
      <c r="F150" s="2">
        <v>20</v>
      </c>
      <c r="H150" s="2">
        <v>0.5</v>
      </c>
      <c r="P150" s="3">
        <f t="shared" si="44"/>
        <v>3.1000000000000112</v>
      </c>
      <c r="Q150" s="3">
        <f t="shared" si="45"/>
        <v>13.000000000000004</v>
      </c>
      <c r="R150" s="3">
        <f>R149</f>
        <v>3.1000000000000112</v>
      </c>
      <c r="S150" s="3">
        <f>S149-0.8</f>
        <v>12.200000000000003</v>
      </c>
    </row>
    <row r="151" spans="1:19" ht="15.75" x14ac:dyDescent="0.25">
      <c r="A151" s="2" t="s">
        <v>20</v>
      </c>
      <c r="B151" s="2" t="s">
        <v>41</v>
      </c>
      <c r="C151" s="2">
        <v>148</v>
      </c>
      <c r="D151" s="2">
        <v>184</v>
      </c>
      <c r="E151" s="2">
        <v>0</v>
      </c>
      <c r="F151" s="2">
        <v>20</v>
      </c>
      <c r="H151" s="2">
        <v>0.5</v>
      </c>
      <c r="P151" s="3">
        <f t="shared" si="44"/>
        <v>3.1000000000000112</v>
      </c>
      <c r="Q151" s="3">
        <f t="shared" si="45"/>
        <v>12.200000000000003</v>
      </c>
      <c r="R151" s="3">
        <f t="shared" ref="R151:R152" si="48">R150</f>
        <v>3.1000000000000112</v>
      </c>
      <c r="S151" s="3">
        <f t="shared" ref="S151:S152" si="49">S150-0.8</f>
        <v>11.400000000000002</v>
      </c>
    </row>
    <row r="152" spans="1:19" ht="15.75" x14ac:dyDescent="0.25">
      <c r="A152" s="2" t="s">
        <v>20</v>
      </c>
      <c r="B152" s="2" t="s">
        <v>41</v>
      </c>
      <c r="C152" s="2">
        <v>149</v>
      </c>
      <c r="D152" s="2">
        <v>40</v>
      </c>
      <c r="E152" s="2">
        <v>0</v>
      </c>
      <c r="F152" s="2">
        <v>20</v>
      </c>
      <c r="H152" s="2">
        <v>0.5</v>
      </c>
      <c r="P152" s="3">
        <f t="shared" si="44"/>
        <v>3.1000000000000112</v>
      </c>
      <c r="Q152" s="3">
        <f t="shared" si="45"/>
        <v>11.400000000000002</v>
      </c>
      <c r="R152" s="3">
        <f t="shared" si="48"/>
        <v>3.1000000000000112</v>
      </c>
      <c r="S152" s="3">
        <f t="shared" si="49"/>
        <v>10.600000000000001</v>
      </c>
    </row>
    <row r="153" spans="1:19" ht="15.75" x14ac:dyDescent="0.25">
      <c r="A153" s="2" t="s">
        <v>20</v>
      </c>
      <c r="B153" s="2" t="s">
        <v>42</v>
      </c>
      <c r="C153" s="4">
        <v>150</v>
      </c>
      <c r="D153" s="2">
        <v>35</v>
      </c>
      <c r="E153" s="2">
        <v>0</v>
      </c>
      <c r="F153" s="2">
        <v>20</v>
      </c>
      <c r="H153" s="2">
        <v>0.5</v>
      </c>
      <c r="P153" s="3">
        <f t="shared" si="44"/>
        <v>3.1000000000000112</v>
      </c>
      <c r="Q153" s="3">
        <f t="shared" si="45"/>
        <v>10.600000000000001</v>
      </c>
      <c r="R153" s="3">
        <v>4.5</v>
      </c>
      <c r="S153" s="3">
        <v>8.8000000000000007</v>
      </c>
    </row>
    <row r="155" spans="1:19" x14ac:dyDescent="0.25">
      <c r="H155"/>
    </row>
    <row r="156" spans="1:19" x14ac:dyDescent="0.25">
      <c r="H15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Spatola</dc:creator>
  <cp:lastModifiedBy>Spatola, Dominic G</cp:lastModifiedBy>
  <dcterms:created xsi:type="dcterms:W3CDTF">2024-10-04T16:01:04Z</dcterms:created>
  <dcterms:modified xsi:type="dcterms:W3CDTF">2024-12-04T22:35:06Z</dcterms:modified>
</cp:coreProperties>
</file>